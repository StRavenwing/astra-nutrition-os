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0a64a77f645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fa95f389559466e"/>
    <x:sheet xmlns:r="http://schemas.openxmlformats.org/officeDocument/2006/relationships" name="Products" sheetId="2" r:id="R862b8f96607b4a13"/>
    <x:sheet xmlns:r="http://schemas.openxmlformats.org/officeDocument/2006/relationships" name="Recipes" sheetId="3" r:id="R73ffcafd1ba54ad7"/>
    <x:sheet xmlns:r="http://schemas.openxmlformats.org/officeDocument/2006/relationships" name="Recipe Details" sheetId="4" r:id="Rd95337d8621b40ee"/>
    <x:sheet xmlns:r="http://schemas.openxmlformats.org/officeDocument/2006/relationships" name="Food Diary" sheetId="5" r:id="R3995dc763abd4e0a"/>
    <x:sheet xmlns:r="http://schemas.openxmlformats.org/officeDocument/2006/relationships" name="Progress" sheetId="6" r:id="R3c51704ac48b4814"/>
    <x:sheet xmlns:r="http://schemas.openxmlformats.org/officeDocument/2006/relationships" name="Workouts" sheetId="7" r:id="R029f0f15d65147b9"/>
    <x:sheet xmlns:r="http://schemas.openxmlformats.org/officeDocument/2006/relationships" name="Changelog" sheetId="8" r:id="Rd3844ed78e994b08"/>
  </x:sheets>
</x:workbook>
</file>

<file path=xl/comments1.xml><?xml version="1.0" encoding="utf-8"?>
<x:comments xmlns:x="http://schemas.openxmlformats.org/spreadsheetml/2006/main">
  <x:authors>
    <x:author>tc={32CF9485-ABFF-5F90-1C09-B176A84550AF}</x:author>
  </x:authors>
  <x:commentList>
    <x:comment ref="L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Статус данных показывает, взяты ли КБЖУ с упаковки или являются оценкой.</x:t>
        </x:r>
      </x:text>
    </x:comment>
  </x:commentList>
</x:comments>
</file>

<file path=xl/comments2.xml><?xml version="1.0" encoding="utf-8"?>
<x:comments xmlns:x="http://schemas.openxmlformats.org/spreadsheetml/2006/main">
  <x:authors>
    <x:author>tc={19C91D87-8351-89C9-DDF6-4B93A31DF428}</x:author>
  </x:authors>
  <x:commentList>
    <x:comment ref="E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Версия рецепта меняется при корректировке состава или количества ингредиентов.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yyyy-mm-dd"/>
    <x:numFmt numFmtId="202" formatCode="0.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B778C"/>
      <x:name val="Carlito"/>
    </x:font>
    <x:font>
      <x:b/>
      <x:sz val="11"/>
      <x:color rgb="FFFFFFFF"/>
      <x:name val="Carlito"/>
    </x:font>
    <x:font>
      <x:sz val="10"/>
      <x:color rgb="FF172B4D"/>
      <x:name val="Carlito"/>
    </x:font>
    <x:font>
      <x:b/>
      <x:sz val="11"/>
      <x:color rgb="FF6B778C"/>
      <x:name val="Carlito"/>
    </x:font>
    <x:font>
      <x:b/>
      <x:sz val="10"/>
      <x:color rgb="FFFFFFFF"/>
      <x:name val="Carlito"/>
    </x:font>
    <x:font>
      <x:b/>
      <x:sz val="22"/>
      <x:color rgb="FF172B4D"/>
      <x:name val="Carlito"/>
    </x:font>
    <x:font>
      <x:sz val="11"/>
      <x:color rgb="FF172B4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F4F5F7"/>
      </x:patternFill>
    </x:fill>
    <x:fill>
      <x:patternFill patternType="solid">
        <x:fgColor rgb="FF0052CC"/>
      </x:patternFill>
    </x:fill>
    <x:fill>
      <x:patternFill patternType="solid">
        <x:fgColor rgb="FFFFFFFF"/>
      </x:patternFill>
    </x:fill>
    <x:fill>
      <x:patternFill patternType="solid">
        <x:fgColor rgb="FF36B37E"/>
      </x:patternFill>
    </x:fill>
    <x:fill>
      <x:patternFill patternType="solid">
        <x:fgColor rgb="FF6554C0"/>
      </x:patternFill>
    </x:fill>
    <x:fill>
      <x:patternFill patternType="solid">
        <x:fgColor rgb="FFFFAB00"/>
      </x:patternFill>
    </x:fill>
  </x:fills>
  <x:borders count="13">
    <x:border/>
    <x:border>
      <x:left style="thin">
        <x:color rgb="FF0052CC"/>
      </x:left>
      <x:top style="thin">
        <x:color rgb="FF0052CC"/>
      </x:top>
      <x:bottom style="thin">
        <x:color rgb="FF0052CC"/>
      </x:bottom>
    </x:border>
    <x:border>
      <x:top style="thin">
        <x:color rgb="FF0052CC"/>
      </x:top>
      <x:bottom style="thin">
        <x:color rgb="FF0052CC"/>
      </x:bottom>
    </x:border>
    <x:border>
      <x:right style="thin">
        <x:color rgb="FF0052CC"/>
      </x:right>
      <x:top style="thin">
        <x:color rgb="FF0052CC"/>
      </x:top>
      <x:bottom style="thin">
        <x:color rgb="FF0052CC"/>
      </x:bottom>
    </x:border>
    <x:border>
      <x:bottom style="thin">
        <x:color rgb="FFDFE1E6"/>
      </x:bottom>
    </x:border>
    <x:border>
      <x:top style="thin">
        <x:color rgb="FFDFE1E6"/>
      </x:top>
      <x:bottom style="thin">
        <x:color rgb="FFDFE1E6"/>
      </x:bottom>
    </x:border>
    <x:border>
      <x:top style="thin">
        <x:color rgb="FFDFE1E6"/>
      </x:top>
    </x:border>
    <x:border>
      <x:left style="thin">
        <x:color rgb="FFDFE1E6"/>
      </x:left>
      <x:top style="thin">
        <x:color rgb="FFDFE1E6"/>
      </x:top>
    </x:border>
    <x:border>
      <x:right style="thin">
        <x:color rgb="FFDFE1E6"/>
      </x:right>
      <x:top style="thin">
        <x:color rgb="FFDFE1E6"/>
      </x:top>
    </x:border>
    <x:border>
      <x:left style="thin">
        <x:color rgb="FFDFE1E6"/>
      </x:left>
    </x:border>
    <x:border>
      <x:right style="thin">
        <x:color rgb="FFDFE1E6"/>
      </x:right>
    </x:border>
    <x:border>
      <x:left style="thin">
        <x:color rgb="FFDFE1E6"/>
      </x:left>
      <x:bottom style="thin">
        <x:color rgb="FFDFE1E6"/>
      </x:bottom>
    </x:border>
    <x:border>
      <x:right style="thin">
        <x:color rgb="FFDFE1E6"/>
      </x:right>
      <x:bottom style="thin">
        <x:color rgb="FFDFE1E6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7" xfId="0" applyNumberFormat="1" applyFont="1" applyFill="1" applyBorder="1"/>
    <x:xf numFmtId="0" fontId="7" fillId="5" borderId="6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4" xfId="0" applyNumberFormat="1" applyFont="1" applyFill="1" applyBorder="1"/>
    <x:xf numFmtId="0" fontId="7" fillId="5" borderId="12" xfId="0" applyNumberFormat="1" applyFont="1" applyFill="1" applyBorder="1"/>
    <x:xf numFmtId="0" fontId="7" fillId="5" borderId="7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0" fontId="7" fillId="5" borderId="10" xfId="0" applyNumberFormat="1" applyFont="1" applyFill="1" applyBorder="1" applyAlignment="1">
      <x:alignment horizontal="center"/>
    </x:xf>
    <x:xf numFmtId="0" fontId="7" fillId="5" borderId="11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/>
    </x:xf>
    <x:xf numFmtId="0" fontId="7" fillId="5" borderId="12" xfId="0" applyNumberFormat="1" applyFont="1" applyFill="1" applyBorder="1" applyAlignment="1">
      <x:alignment horizont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7" fillId="5" borderId="9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10" xfId="0" applyNumberFormat="1" applyFont="1" applyFill="1" applyBorder="1" applyAlignment="1">
      <x:alignment horizontal="center" vertical="center"/>
    </x:xf>
    <x:xf numFmtId="0" fontId="7" fillId="5" borderId="11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5" borderId="1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5" borderId="7" xfId="0" applyNumberFormat="1" applyFont="1" applyFill="1" applyBorder="1"/>
    <x:xf numFmtId="0" fontId="8" fillId="5" borderId="6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4" xfId="0" applyNumberFormat="1" applyFont="1" applyFill="1" applyBorder="1"/>
    <x:xf numFmtId="0" fontId="8" fillId="5" borderId="12" xfId="0" applyNumberFormat="1" applyFont="1" applyFill="1" applyBorder="1"/>
    <x:xf numFmtId="0" fontId="8" fillId="5" borderId="7" xfId="0" applyNumberFormat="1" applyFont="1" applyFill="1" applyBorder="1" applyAlignment="1">
      <x:alignment wrapText="1"/>
    </x:xf>
    <x:xf numFmtId="0" fontId="8" fillId="5" borderId="6" xfId="0" applyNumberFormat="1" applyFont="1" applyFill="1" applyBorder="1" applyAlignment="1">
      <x:alignment wrapText="1"/>
    </x:xf>
    <x:xf numFmtId="0" fontId="8" fillId="5" borderId="8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10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wrapText="1"/>
    </x:xf>
    <x:xf numFmtId="0" fontId="8" fillId="5" borderId="4" xfId="0" applyNumberFormat="1" applyFont="1" applyFill="1" applyBorder="1" applyAlignment="1">
      <x:alignment wrapText="1"/>
    </x:xf>
    <x:xf numFmtId="0" fontId="8" fillId="5" borderId="12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202" fontId="7" fillId="5" borderId="7" xfId="0" applyNumberFormat="1" applyFont="1" applyFill="1" applyBorder="1" applyAlignment="1">
      <x:alignment horizontal="center" vertical="center"/>
    </x:xf>
    <x:xf numFmtId="202" fontId="7" fillId="5" borderId="6" xfId="0" applyNumberFormat="1" applyFont="1" applyFill="1" applyBorder="1" applyAlignment="1">
      <x:alignment horizontal="center" vertical="center"/>
    </x:xf>
    <x:xf numFmtId="202" fontId="7" fillId="5" borderId="8" xfId="0" applyNumberFormat="1" applyFont="1" applyFill="1" applyBorder="1" applyAlignment="1">
      <x:alignment horizontal="center" vertical="center"/>
    </x:xf>
    <x:xf numFmtId="202" fontId="7" fillId="5" borderId="9" xfId="0" applyNumberFormat="1" applyFont="1" applyFill="1" applyBorder="1" applyAlignment="1">
      <x:alignment horizontal="center" vertical="center"/>
    </x:xf>
    <x:xf numFmtId="202" fontId="7" fillId="5" borderId="0" xfId="0" applyNumberFormat="1" applyFont="1" applyFill="1" applyBorder="1" applyAlignment="1">
      <x:alignment horizontal="center" vertical="center"/>
    </x:xf>
    <x:xf numFmtId="202" fontId="7" fillId="5" borderId="10" xfId="0" applyNumberFormat="1" applyFont="1" applyFill="1" applyBorder="1" applyAlignment="1">
      <x:alignment horizontal="center" vertical="center"/>
    </x:xf>
    <x:xf numFmtId="202" fontId="7" fillId="5" borderId="11" xfId="0" applyNumberFormat="1" applyFont="1" applyFill="1" applyBorder="1" applyAlignment="1">
      <x:alignment horizontal="center" vertical="center"/>
    </x:xf>
    <x:xf numFmtId="202" fontId="7" fillId="5" borderId="4" xfId="0" applyNumberFormat="1" applyFont="1" applyFill="1" applyBorder="1" applyAlignment="1">
      <x:alignment horizontal="center" vertical="center"/>
    </x:xf>
    <x:xf numFmtId="202" fontId="7" fillId="5" borderId="12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ont>
        <x:b/>
        <x:color rgb="FF006644"/>
      </x:font>
      <x:fill>
        <x:patternFill patternType="solid">
          <x:bgColor rgb="FFE3FCEF"/>
        </x:patternFill>
      </x:fill>
    </x:dxf>
    <x:dxf>
      <x:font>
        <x:color rgb="FF974F0C"/>
      </x:font>
      <x:fill>
        <x:patternFill patternType="solid">
          <x:bgColor rgb="FFFFFAE6"/>
        </x:patternFill>
      </x:fill>
    </x:dxf>
    <x:dxf>
      <x:font>
        <x:b/>
        <x:color rgb="FF006644"/>
      </x:font>
      <x:fill>
        <x:patternFill patternType="solid">
          <x:bgColor rgb="FFE3FCEF"/>
        </x:patternFill>
      </x:fill>
    </x:dxf>
    <x:dxf>
      <x:font>
        <x:b/>
        <x:color rgb="FF974F0C"/>
      </x:font>
      <x:fill>
        <x:patternFill patternType="solid">
          <x:bgColor rgb="FFFFFAE6"/>
        </x:patternFill>
      </x:fill>
    </x:dxf>
    <x:dxf>
      <x:font>
        <x:b/>
        <x:color rgb="FF0052CC"/>
      </x:font>
      <x:fill>
        <x:patternFill patternType="solid">
          <x:bgColor rgb="FFDEEBFF"/>
        </x:patternFill>
      </x:fill>
    </x:dxf>
    <x:dxf>
      <x:font>
        <x:b/>
        <x:color rgb="FF6B778C"/>
      </x:font>
      <x:fill>
        <x:patternFill patternType="solid">
          <x:bgColor rgb="FFF4F5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a817438004551" /><Relationship Type="http://schemas.openxmlformats.org/officeDocument/2006/relationships/theme" Target="/xl/theme/theme1.xml" Id="Rbfe0d794630240f2" /><Relationship Type="http://schemas.openxmlformats.org/officeDocument/2006/relationships/sharedStrings" Target="/xl/sharedStrings.xml" Id="Rec6262e61d6946a1" /><Relationship Type="http://schemas.openxmlformats.org/officeDocument/2006/relationships/worksheet" Target="/xl/worksheets/sheet1.xml" Id="R9fa95f389559466e" /><Relationship Type="http://schemas.openxmlformats.org/officeDocument/2006/relationships/worksheet" Target="/xl/worksheets/sheet2.xml" Id="R862b8f96607b4a13" /><Relationship Type="http://schemas.openxmlformats.org/officeDocument/2006/relationships/worksheet" Target="/xl/worksheets/sheet3.xml" Id="R73ffcafd1ba54ad7" /><Relationship Type="http://schemas.openxmlformats.org/officeDocument/2006/relationships/worksheet" Target="/xl/worksheets/sheet4.xml" Id="Rd95337d8621b40ee" /><Relationship Type="http://schemas.openxmlformats.org/officeDocument/2006/relationships/worksheet" Target="/xl/worksheets/sheet5.xml" Id="R3995dc763abd4e0a" /><Relationship Type="http://schemas.openxmlformats.org/officeDocument/2006/relationships/worksheet" Target="/xl/worksheets/sheet6.xml" Id="R3c51704ac48b4814" /><Relationship Type="http://schemas.openxmlformats.org/officeDocument/2006/relationships/worksheet" Target="/xl/worksheets/sheet7.xml" Id="R029f0f15d65147b9" /><Relationship Type="http://schemas.openxmlformats.org/officeDocument/2006/relationships/worksheet" Target="/xl/worksheets/sheet8.xml" Id="Rd3844ed78e994b08" /><Relationship Type="http://schemas.microsoft.com/office/2017/10/relationships/person" Target="/xl/persons/person.xml" Id="R801faf19df884e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f25996675b4a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Calories per serving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Calories / serving</c:v>
          </c:tx>
          <c:cat>
            <c:strRef>
              <c:f>'Dashboard'!$A$20:$A$27</c:f>
              <c:strCache>
                <c:ptCount val="0"/>
              </c:strCache>
            </c:strRef>
          </c:cat>
          <c:val>
            <c:numRef>
              <c:f>'Dashboard'!$B$20:$B$27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f25996675b4a92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Настя" id="{02261606-D063-48DD-A052-0F4CD697E765}"/>
</xltc:personList>
</file>

<file path=xl/tables/table1.xml><?xml version="1.0" encoding="utf-8"?>
<x:table xmlns:x="http://schemas.openxmlformats.org/spreadsheetml/2006/main" id="1" name="ProductsTable" displayName="ProductsTable" ref="A4:M39" headerRowCount="1" totalsRowCount="0" totalsRowShown="0">
  <x:tableColumns count="13">
    <x:tableColumn id="1" name="Product ID"/>
    <x:tableColumn id="2" name="Продукт"/>
    <x:tableColumn id="3" name="Категория"/>
    <x:tableColumn id="4" name="Ед."/>
    <x:tableColumn id="5" name="Цена упаковки, дин"/>
    <x:tableColumn id="6" name="Размер упаковки"/>
    <x:tableColumn id="7" name="Цена / 100 г или ед."/>
    <x:tableColumn id="8" name="Ккал"/>
    <x:tableColumn id="9" name="Белки, г"/>
    <x:tableColumn id="10" name="Жиры, г"/>
    <x:tableColumn id="11" name="Углеводы, г"/>
    <x:tableColumn id="12" name="Статус данных"/>
    <x:tableColumn id="13" name="Примеч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RecipesTable" displayName="RecipesTable" ref="A4:P21" headerRowCount="1" totalsRowCount="0" totalsRowShown="0">
  <x:tableColumns count="16">
    <x:tableColumn id="1" name="Recipe ID"/>
    <x:tableColumn id="2" name="Название"/>
    <x:tableColumn id="3" name="Категория"/>
    <x:tableColumn id="4" name="Подкатегория"/>
    <x:tableColumn id="5" name="Версия"/>
    <x:tableColumn id="6" name="Статус"/>
    <x:tableColumn id="7" name="Порций"/>
    <x:tableColumn id="8" name="Теги"/>
    <x:tableColumn id="9" name="Цена рецепта"/>
    <x:tableColumn id="10" name="Цена порции"/>
    <x:tableColumn id="11" name="Ккал / рецепт"/>
    <x:tableColumn id="12" name="Белки"/>
    <x:tableColumn id="13" name="Жиры"/>
    <x:tableColumn id="14" name="Углеводы"/>
    <x:tableColumn id="15" name="Ккал / порция"/>
    <x:tableColumn id="16" name="Белок / 100 дин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cipeDetailsTable" displayName="RecipeDetailsTable" ref="A4:K88" headerRowCount="1" totalsRowCount="0" totalsRowShown="0">
  <x:tableColumns count="11">
    <x:tableColumn id="1" name="Recipe ID"/>
    <x:tableColumn id="2" name="Product ID"/>
    <x:tableColumn id="3" name="Ингредиент"/>
    <x:tableColumn id="4" name="Количество"/>
    <x:tableColumn id="5" name="Ед."/>
    <x:tableColumn id="6" name="Описание порции"/>
    <x:tableColumn id="7" name="Стоимость, дин"/>
    <x:tableColumn id="8" name="Ккал"/>
    <x:tableColumn id="9" name="Белки, г"/>
    <x:tableColumn id="10" name="Жиры, г"/>
    <x:tableColumn id="11" name="Углеводы, г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odDiaryTable" displayName="FoodDiaryTable" ref="A4:K104" headerRowCount="1" totalsRowCount="0" totalsRowShown="0">
  <x:tableColumns count="11">
    <x:tableColumn id="1" name="Дата"/>
    <x:tableColumn id="2" name="Прием пищи"/>
    <x:tableColumn id="3" name="Recipe ID"/>
    <x:tableColumn id="4" name="Блюдо"/>
    <x:tableColumn id="5" name="Порций"/>
    <x:tableColumn id="6" name="Ккал"/>
    <x:tableColumn id="7" name="Белки"/>
    <x:tableColumn id="8" name="Жиры"/>
    <x:tableColumn id="9" name="Углеводы"/>
    <x:tableColumn id="10" name="Стоимость, дин"/>
    <x:tableColumn id="11" name="Комментари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gressTable" displayName="ProgressTable" ref="A4:H104" headerRowCount="1" totalsRowCount="0" totalsRowShown="0">
  <x:tableColumns count="8">
    <x:tableColumn id="1" name="Дата"/>
    <x:tableColumn id="2" name="Вес, кг"/>
    <x:tableColumn id="3" name="Талия, см"/>
    <x:tableColumn id="4" name="Грудь, см"/>
    <x:tableColumn id="5" name="Бедра, см"/>
    <x:tableColumn id="6" name="Сон (1–5)"/>
    <x:tableColumn id="7" name="Самочувствие (1–5)"/>
    <x:tableColumn id="8" name="Комментари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koutsTable" displayName="WorkoutsTable" ref="A4:J21" headerRowCount="1" totalsRowCount="0" totalsRowShown="0">
  <x:tableColumns count="10">
    <x:tableColumn id="1" name="Exercise ID"/>
    <x:tableColumn id="2" name="Группа"/>
    <x:tableColumn id="3" name="Упражнение"/>
    <x:tableColumn id="4" name="Рабочий вес"/>
    <x:tableColumn id="5" name="Ед."/>
    <x:tableColumn id="6" name="Подходы"/>
    <x:tableColumn id="7" name="Повторы"/>
    <x:tableColumn id="8" name="RIR"/>
    <x:tableColumn id="9" name="Тренажер / филиал"/>
    <x:tableColumn id="10" name="Комментарий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hangelogTable" displayName="ChangelogTable" ref="A4:H9" headerRowCount="1" totalsRowCount="0" totalsRowShown="0">
  <x:tableColumns count="8">
    <x:tableColumn id="1" name="Дата"/>
    <x:tableColumn id="2" name="Объект ID"/>
    <x:tableColumn id="3" name="Версия"/>
    <x:tableColumn id="4" name="Статус"/>
    <x:tableColumn id="5" name="Тип изменения"/>
    <x:tableColumn id="6" name="Описание"/>
    <x:tableColumn id="7" name="Автор"/>
    <x:tableColumn id="8" name="Следующее действ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L5" dT="2026-07-14T14:40:04.777" personId="{02261606-D063-48DD-A052-0F4CD697E765}" id="{32CF9485-ABFF-5F90-1C09-B176A84550AF}">
    <xltc:text>Статус данных показывает, взяты ли КБЖУ с упаковки или являются оценкой.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5" dT="2026-07-14T14:40:04.782" personId="{02261606-D063-48DD-A052-0F4CD697E765}" id="{19C91D87-8351-89C9-DDF6-4B93A31DF428}">
    <xltc:text>Версия рецепта меняется при корректировке состава или количества ингредиентов.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b7097082f345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eaeac1cc39e41a6" /><Relationship Type="http://schemas.openxmlformats.org/officeDocument/2006/relationships/vmlDrawing" Target="/xl/drawings/vmldrawing.vml" Id="R831c12b862074263" /><Relationship Type="http://schemas.microsoft.com/office/2017/10/relationships/threadedComment" Target="/xl/threadedcomments/threadedcomment.xml" Id="Rcb30a650a17141a4" /><Relationship Type="http://schemas.openxmlformats.org/officeDocument/2006/relationships/table" Target="/xl/tables/table1.xml" Id="R3f1915e4e33c48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d0c0017a0cb94625" /><Relationship Type="http://schemas.openxmlformats.org/officeDocument/2006/relationships/vmlDrawing" Target="/xl/drawings/vmldrawing2.vml" Id="R125d7bc12ca9495e" /><Relationship Type="http://schemas.microsoft.com/office/2017/10/relationships/threadedComment" Target="/xl/threadedcomments/threadedcomment2.xml" Id="R2f205c1e488c4a07" /><Relationship Type="http://schemas.openxmlformats.org/officeDocument/2006/relationships/table" Target="/xl/tables/table2.xml" Id="R26bc79d8c3a744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c6833df02d4f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31ba3b4dcf49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2c961a57bf48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297a15f2e74c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156f0581804a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5" hidden="0" customWidth="1"/>
    <x:col min="8" max="8" width="3" hidden="0" customWidth="1"/>
    <x:col min="9" max="9" width="18" hidden="0" customWidth="1"/>
    <x:col min="10" max="10" width="18" hidden="0" customWidth="1"/>
    <x:col min="11" max="11" width="16" hidden="0" customWidth="1"/>
    <x:col min="12" max="12" width="3" hidden="0" customWidth="1"/>
    <x:col min="13" max="13" width="16" hidden="0" customWidth="1"/>
    <x:col min="14" max="14" width="16" hidden="0" customWidth="1"/>
  </x:cols>
  <x:sheetData>
    <x:row r="1" ht="34" customHeight="1">
      <x:c r="A1" s="3" t="str">
        <x:v>Astra Nutrition OS v7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6" t="str">
        <x:v>Личный nutrition + workout workspace • Notion clarity, Jira structure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22" customHeight="1">
      <x:c r="A4" s="31" t="str">
        <x:v>OVERVIEW</x:v>
      </x:c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</x:row>
    <x:row r="5">
      <x:c r="A5" s="33" t="str">
        <x:v>Рецептов</x:v>
      </x:c>
      <x:c r="B5" s="33"/>
      <x:c r="C5" s="33"/>
      <x:c r="E5" s="64" t="str">
        <x:v>Approved</x:v>
      </x:c>
      <x:c r="F5" s="64"/>
      <x:c r="G5" s="64"/>
      <x:c r="I5" s="67" t="str">
        <x:v>Средний белок / порция</x:v>
      </x:c>
      <x:c r="J5" s="67"/>
      <x:c r="K5" s="67"/>
      <x:c r="M5" s="70" t="str">
        <x:v>Текущий вес</x:v>
      </x:c>
      <x:c r="N5" s="70"/>
    </x:row>
    <x:row r="6">
      <x:c r="A6" s="53" t="n">
        <x:f>COUNTA('Recipes'!A5:A100)</x:f>
        <x:v>17</x:v>
      </x:c>
      <x:c r="B6" s="54"/>
      <x:c r="C6" s="55"/>
      <x:c r="E6" s="53" t="n">
        <x:f>COUNTIF('Recipes'!F5:F100,"Approved")</x:f>
        <x:v>16</x:v>
      </x:c>
      <x:c r="F6" s="54"/>
      <x:c r="G6" s="55"/>
      <x:c r="I6" s="111" t="n">
        <x:f>AVERAGEIF('Recipes'!O5:O100,"&gt;0",'Recipes'!L5:L100/'Recipes'!G5:G100)</x:f>
        <x:v>36.32986274509804</x:v>
      </x:c>
      <x:c r="J6" s="112"/>
      <x:c r="K6" s="113"/>
      <x:c r="M6" s="53" t="n">
        <x:f>'Progress'!B6</x:f>
        <x:v>73</x:v>
      </x:c>
      <x:c r="N6" s="55"/>
    </x:row>
    <x:row r="7">
      <x:c r="A7" s="56"/>
      <x:c r="B7" s="57"/>
      <x:c r="C7" s="58"/>
      <x:c r="E7" s="56"/>
      <x:c r="F7" s="57"/>
      <x:c r="G7" s="58"/>
      <x:c r="I7" s="114"/>
      <x:c r="J7" s="115"/>
      <x:c r="K7" s="116"/>
      <x:c r="M7" s="56"/>
      <x:c r="N7" s="58"/>
    </x:row>
    <x:row r="8">
      <x:c r="A8" s="59"/>
      <x:c r="B8" s="60"/>
      <x:c r="C8" s="61"/>
      <x:c r="E8" s="59"/>
      <x:c r="F8" s="60"/>
      <x:c r="G8" s="61"/>
      <x:c r="I8" s="117"/>
      <x:c r="J8" s="118"/>
      <x:c r="K8" s="119"/>
      <x:c r="M8" s="59"/>
      <x:c r="N8" s="61"/>
    </x:row>
    <x:row r="10">
      <x:c r="A10" s="71" t="str">
        <x:v>TOP RECIPES BY PROTEIN VALUE</x:v>
      </x:c>
      <x:c r="B10" s="71"/>
      <x:c r="C10" s="71"/>
      <x:c r="D10" s="71"/>
      <x:c r="E10" s="71"/>
      <x:c r="F10" s="71"/>
      <x:c r="G10" s="71"/>
      <x:c r="I10" s="71" t="str">
        <x:v>DATA QUALITY &amp; NEXT STEPS</x:v>
      </x:c>
      <x:c r="J10" s="71"/>
      <x:c r="K10" s="71"/>
      <x:c r="L10" s="71"/>
      <x:c r="M10" s="71"/>
      <x:c r="N10" s="71"/>
    </x:row>
    <x:row r="11" ht="36" customHeight="1">
      <x:c r="A11" s="15" t="str">
        <x:v>Recipe ID</x:v>
      </x:c>
      <x:c r="B11" s="16" t="str">
        <x:v>Название</x:v>
      </x:c>
      <x:c r="C11" s="16" t="str">
        <x:v>Белок / порция</x:v>
      </x:c>
      <x:c r="D11" s="17" t="str">
        <x:v>Белок / 100 дин</x:v>
      </x:c>
      <x:c r="I11" s="102" t="str">
        <x:v>• Products marked “Оценка” can be replaced with label data.</x:v>
      </x:c>
      <x:c r="J11" s="103"/>
      <x:c r="K11" s="103"/>
      <x:c r="L11" s="103"/>
      <x:c r="M11" s="103"/>
      <x:c r="N11" s="104"/>
    </x:row>
    <x:row r="12" ht="36" customHeight="1">
      <x:c r="A12" s="72" t="str">
        <x:f>'Recipes'!A5</x:f>
        <x:v>B-001</x:v>
      </x:c>
      <x:c r="B12" s="72" t="str">
        <x:f>'Recipes'!B5</x:f>
        <x:v>Яичница с томатами и хлебом</x:v>
      </x:c>
      <x:c r="C12" s="72" t="n">
        <x:f>'Recipes'!L5/'Recipes'!G5</x:f>
        <x:v>25.295</x:v>
      </x:c>
      <x:c r="D12" s="72" t="n">
        <x:f>'Recipes'!P5</x:f>
        <x:v>25.74554707379135</x:v>
      </x:c>
      <x:c r="I12" s="105" t="str">
        <x:v>• Food Diary is ready for daily entries.</x:v>
      </x:c>
      <x:c r="J12" s="106"/>
      <x:c r="K12" s="106"/>
      <x:c r="L12" s="106"/>
      <x:c r="M12" s="106"/>
      <x:c r="N12" s="107"/>
    </x:row>
    <x:row r="13" ht="36" customHeight="1">
      <x:c r="A13" s="73" t="str">
        <x:f>'Recipes'!A6</x:f>
        <x:v>M-001</x:v>
      </x:c>
      <x:c r="B13" s="73" t="str">
        <x:f>'Recipes'!B6</x:f>
        <x:v>Куриная запеканка</x:v>
      </x:c>
      <x:c r="C13" s="73" t="n">
        <x:f>'Recipes'!L6/'Recipes'!G6</x:f>
        <x:v>45.89266666666666</x:v>
      </x:c>
      <x:c r="D13" s="73" t="n">
        <x:f>'Recipes'!P6</x:f>
        <x:v>71.60030142459001</x:v>
      </x:c>
      <x:c r="I13" s="105" t="str">
        <x:v>• Workouts track machine/location context, not cross-machine kg.</x:v>
      </x:c>
      <x:c r="J13" s="106"/>
      <x:c r="K13" s="106"/>
      <x:c r="L13" s="106"/>
      <x:c r="M13" s="106"/>
      <x:c r="N13" s="107"/>
    </x:row>
    <x:row r="14" ht="36" customHeight="1">
      <x:c r="A14" s="73" t="str">
        <x:f>'Recipes'!A7</x:f>
        <x:v>M-002</x:v>
      </x:c>
      <x:c r="B14" s="73" t="str">
        <x:f>'Recipes'!B7</x:f>
        <x:v>Паста болоньезе</x:v>
      </x:c>
      <x:c r="C14" s="73" t="n">
        <x:f>'Recipes'!L7/'Recipes'!G7</x:f>
        <x:v>45.55</x:v>
      </x:c>
      <x:c r="D14" s="73" t="n">
        <x:f>'Recipes'!P7</x:f>
        <x:v>11.841241575626018</x:v>
      </x:c>
      <x:c r="I14" s="105" t="str">
        <x:v>• Recipe totals recalculate from Product values.</x:v>
      </x:c>
      <x:c r="J14" s="106"/>
      <x:c r="K14" s="106"/>
      <x:c r="L14" s="106"/>
      <x:c r="M14" s="106"/>
      <x:c r="N14" s="107"/>
    </x:row>
    <x:row r="15" ht="36" customHeight="1">
      <x:c r="A15" s="73" t="str">
        <x:f>'Recipes'!A8</x:f>
        <x:v>M-003</x:v>
      </x:c>
      <x:c r="B15" s="73" t="str">
        <x:f>'Recipes'!B8</x:f>
        <x:v>Домашняя пицца с индейкой</x:v>
      </x:c>
      <x:c r="C15" s="73" t="n">
        <x:f>'Recipes'!L8/'Recipes'!G8</x:f>
        <x:v>47.3</x:v>
      </x:c>
      <x:c r="D15" s="73" t="n">
        <x:f>'Recipes'!P8</x:f>
        <x:v>32.30433000956153</x:v>
      </x:c>
      <x:c r="I15" s="105" t="str">
        <x:v>• Add dates to Progress to activate meaningful trends.</x:v>
      </x:c>
      <x:c r="J15" s="106"/>
      <x:c r="K15" s="106"/>
      <x:c r="L15" s="106"/>
      <x:c r="M15" s="106"/>
      <x:c r="N15" s="107"/>
    </x:row>
    <x:row r="16" ht="36" customHeight="1">
      <x:c r="A16" s="74" t="str">
        <x:f>'Recipes'!A9</x:f>
        <x:v>M-004</x:v>
      </x:c>
      <x:c r="B16" s="74" t="str">
        <x:f>'Recipes'!B9</x:f>
        <x:v>Куриные оладьи</x:v>
      </x:c>
      <x:c r="C16" s="74" t="n">
        <x:f>'Recipes'!L9/'Recipes'!G9</x:f>
        <x:v>41.589999999999996</x:v>
      </x:c>
      <x:c r="D16" s="74" t="n">
        <x:f>'Recipes'!P9</x:f>
        <x:v>75.23811533857756</x:v>
      </x:c>
      <x:c r="I16" s="108" t="str">
        <x:v>• Status and version fields support recipe lifecycle.</x:v>
      </x:c>
      <x:c r="J16" s="109"/>
      <x:c r="K16" s="109"/>
      <x:c r="L16" s="109"/>
      <x:c r="M16" s="109"/>
      <x:c r="N16" s="110"/>
    </x:row>
    <x:row r="19">
      <x:c r="A19" t="str">
        <x:v>Recipe</x:v>
      </x:c>
      <x:c r="B19" t="str">
        <x:v>Calories / serving</x:v>
      </x:c>
    </x:row>
    <x:row r="20">
      <x:c r="A20" t="str">
        <x:f>'Recipes'!B5</x:f>
        <x:v>Яичница с томатами и хлебом</x:v>
      </x:c>
      <x:c r="B20" t="n">
        <x:f>'Recipes'!O5</x:f>
        <x:v>453.59000000000003</x:v>
      </x:c>
    </x:row>
    <x:row r="21">
      <x:c r="A21" t="str">
        <x:f>'Recipes'!B6</x:f>
        <x:v>Куриная запеканка</x:v>
      </x:c>
      <x:c r="B21" t="n">
        <x:f>'Recipes'!O6</x:f>
        <x:v>254.66333333333333</x:v>
      </x:c>
    </x:row>
    <x:row r="22">
      <x:c r="A22" t="str">
        <x:f>'Recipes'!B7</x:f>
        <x:v>Паста болоньезе</x:v>
      </x:c>
      <x:c r="B22" t="n">
        <x:f>'Recipes'!O7</x:f>
        <x:v>762.225</x:v>
      </x:c>
    </x:row>
    <x:row r="23">
      <x:c r="A23" t="str">
        <x:f>'Recipes'!B8</x:f>
        <x:v>Домашняя пицца с индейкой</x:v>
      </x:c>
      <x:c r="B23" t="n">
        <x:f>'Recipes'!O8</x:f>
        <x:v>589.125</x:v>
      </x:c>
    </x:row>
    <x:row r="24">
      <x:c r="A24" t="str">
        <x:f>'Recipes'!B9</x:f>
        <x:v>Куриные оладьи</x:v>
      </x:c>
      <x:c r="B24" t="n">
        <x:f>'Recipes'!O9</x:f>
        <x:v>217.75</x:v>
      </x:c>
    </x:row>
    <x:row r="25">
      <x:c r="A25" t="str">
        <x:f>'Recipes'!B10</x:f>
        <x:v>Паста с баклажаном и моцареллой</x:v>
      </x:c>
      <x:c r="B25" t="n">
        <x:f>'Recipes'!O10</x:f>
        <x:v>622.85</x:v>
      </x:c>
    </x:row>
    <x:row r="26">
      <x:c r="A26" t="str">
        <x:f>'Recipes'!B11</x:f>
        <x:v>Салат с тунцом</x:v>
      </x:c>
      <x:c r="B26" t="n">
        <x:f>'Recipes'!O11</x:f>
        <x:v>304.2</x:v>
      </x:c>
    </x:row>
    <x:row r="27">
      <x:c r="A27" t="str">
        <x:f>'Recipes'!B12</x:f>
        <x:v>Салат с куриным бедром</x:v>
      </x:c>
      <x:c r="B27" t="n">
        <x:f>'Recipes'!O12</x:f>
        <x:v>458.9</x:v>
      </x:c>
    </x:row>
  </x:sheetData>
  <x:mergeCells>
    <x:mergeCell ref="A1:N1"/>
    <x:mergeCell ref="A2:N2"/>
    <x:mergeCell ref="A4:N4"/>
    <x:mergeCell ref="A5:C5"/>
    <x:mergeCell ref="A6:C8"/>
    <x:mergeCell ref="E5:G5"/>
    <x:mergeCell ref="E6:G8"/>
    <x:mergeCell ref="I5:K5"/>
    <x:mergeCell ref="I6:K8"/>
    <x:mergeCell ref="M5:N5"/>
    <x:mergeCell ref="M6:N8"/>
    <x:mergeCell ref="A10:G10"/>
    <x:mergeCell ref="I10:N10"/>
    <x:mergeCell ref="I11:N11"/>
    <x:mergeCell ref="I12:N12"/>
    <x:mergeCell ref="I13:N13"/>
    <x:mergeCell ref="I14:N14"/>
    <x:mergeCell ref="I15:N15"/>
    <x:mergeCell ref="I16:N16"/>
  </x:mergeCells>
  <x:pageMargins left="0.7" right="0.7" top="0.75" bottom="0.75" header="0.3" footer="0.3"/>
  <x:drawing xmlns:r="http://schemas.openxmlformats.org/officeDocument/2006/relationships" r:id="R4eb7097082f3453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6" hidden="0" customWidth="1"/>
    <x:col min="4" max="4" width="10" hidden="0" customWidth="1"/>
    <x:col min="5" max="5" width="16" hidden="0" customWidth="1"/>
    <x:col min="6" max="6" width="16" hidden="0" customWidth="1"/>
    <x:col min="7" max="7" width="18" hidden="0" customWidth="1"/>
    <x:col min="8" max="8" width="11" hidden="0" customWidth="1"/>
    <x:col min="9" max="9" width="11" hidden="0" customWidth="1"/>
    <x:col min="10" max="10" width="11" hidden="0" customWidth="1"/>
    <x:col min="11" max="11" width="13" hidden="0" customWidth="1"/>
    <x:col min="12" max="12" width="16" hidden="0" customWidth="1"/>
    <x:col min="13" max="13" width="34" hidden="0" customWidth="1"/>
  </x:cols>
  <x:sheetData>
    <x:row r="1" ht="34" customHeight="1">
      <x:c r="A1" s="3" t="str">
        <x:v>Products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6" t="str">
        <x:v>Единый источник данных: цены, упаковки и КБЖУ на базовую единицу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24" customHeight="1">
      <x:c r="A4" s="15" t="str">
        <x:v>Product ID</x:v>
      </x:c>
      <x:c r="B4" s="16" t="str">
        <x:v>Продукт</x:v>
      </x:c>
      <x:c r="C4" s="16" t="str">
        <x:v>Категория</x:v>
      </x:c>
      <x:c r="D4" s="16" t="str">
        <x:v>Ед.</x:v>
      </x:c>
      <x:c r="E4" s="16" t="str">
        <x:v>Цена упаковки, дин</x:v>
      </x:c>
      <x:c r="F4" s="16" t="str">
        <x:v>Размер упаковки</x:v>
      </x:c>
      <x:c r="G4" s="16" t="str">
        <x:v>Цена / 100 г или ед.</x:v>
      </x:c>
      <x:c r="H4" s="16" t="str">
        <x:v>Ккал</x:v>
      </x:c>
      <x:c r="I4" s="16" t="str">
        <x:v>Белки, г</x:v>
      </x:c>
      <x:c r="J4" s="16" t="str">
        <x:v>Жиры, г</x:v>
      </x:c>
      <x:c r="K4" s="16" t="str">
        <x:v>Углеводы, г</x:v>
      </x:c>
      <x:c r="L4" s="16" t="str">
        <x:v>Статус данных</x:v>
      </x:c>
      <x:c r="M4" s="17" t="str">
        <x:v>Примечание</x:v>
      </x:c>
    </x:row>
    <x:row r="5">
      <x:c r="A5" s="22" t="str">
        <x:v>P-001</x:v>
      </x:c>
      <x:c r="B5" s="22" t="str">
        <x:v>Яйцо</x:v>
      </x:c>
      <x:c r="C5" s="22" t="str">
        <x:v>Белковые</x:v>
      </x:c>
      <x:c r="D5" s="22" t="str">
        <x:v>шт</x:v>
      </x:c>
      <x:c r="E5" s="25" t="n">
        <x:v>20</x:v>
      </x:c>
      <x:c r="F5" s="25" t="n">
        <x:v>1</x:v>
      </x:c>
      <x:c r="G5" s="25" t="n">
        <x:v>20</x:v>
      </x:c>
      <x:c r="H5" s="25" t="n">
        <x:v>72</x:v>
      </x:c>
      <x:c r="I5" s="25" t="n">
        <x:v>6.3</x:v>
      </x:c>
      <x:c r="J5" s="25" t="n">
        <x:v>4.8</x:v>
      </x:c>
      <x:c r="K5" s="25" t="n">
        <x:v>0.4</x:v>
      </x:c>
      <x:c r="L5" s="22" t="str">
        <x:v>Подтверждено</x:v>
      </x:c>
      <x:c r="M5" s="22" t="str">
        <x:v>10 шт / 200 дин</x:v>
      </x:c>
    </x:row>
    <x:row r="6">
      <x:c r="A6" s="23" t="str">
        <x:v>P-002</x:v>
      </x:c>
      <x:c r="B6" s="23" t="str">
        <x:v>Творог 0,2% (старый)</x:v>
      </x:c>
      <x:c r="C6" s="23" t="str">
        <x:v>Молочные</x:v>
      </x:c>
      <x:c r="D6" s="23" t="str">
        <x:v>г</x:v>
      </x:c>
      <x:c r="E6" s="26" t="n">
        <x:v>202.5</x:v>
      </x:c>
      <x:c r="F6" s="26" t="n">
        <x:v>500</x:v>
      </x:c>
      <x:c r="G6" s="26" t="n">
        <x:v>40.5</x:v>
      </x:c>
      <x:c r="H6" s="26" t="n">
        <x:v>66</x:v>
      </x:c>
      <x:c r="I6" s="26" t="n">
        <x:v>12</x:v>
      </x:c>
      <x:c r="J6" s="26" t="n">
        <x:v>0.2</x:v>
      </x:c>
      <x:c r="K6" s="26" t="n">
        <x:v>4.1</x:v>
      </x:c>
      <x:c r="L6" s="23" t="str">
        <x:v>Подтверждено</x:v>
      </x:c>
      <x:c r="M6" s="23" t="str">
        <x:v>500 г / 202,5 дин</x:v>
      </x:c>
    </x:row>
    <x:row r="7">
      <x:c r="A7" s="23" t="str">
        <x:v>P-003</x:v>
      </x:c>
      <x:c r="B7" s="23" t="str">
        <x:v>Творог 0,2% (новый)</x:v>
      </x:c>
      <x:c r="C7" s="23" t="str">
        <x:v>Молочные</x:v>
      </x:c>
      <x:c r="D7" s="23" t="str">
        <x:v>г</x:v>
      </x:c>
      <x:c r="E7" s="26" t="n">
        <x:v>230</x:v>
      </x:c>
      <x:c r="F7" s="26" t="n">
        <x:v>400</x:v>
      </x:c>
      <x:c r="G7" s="26" t="n">
        <x:v>57.5</x:v>
      </x:c>
      <x:c r="H7" s="26" t="n">
        <x:v>66</x:v>
      </x:c>
      <x:c r="I7" s="26" t="n">
        <x:v>13</x:v>
      </x:c>
      <x:c r="J7" s="26" t="n">
        <x:v>0.2</x:v>
      </x:c>
      <x:c r="K7" s="26" t="n">
        <x:v>3</x:v>
      </x:c>
      <x:c r="L7" s="23" t="str">
        <x:v>Подтверждено</x:v>
      </x:c>
      <x:c r="M7" s="23" t="str">
        <x:v>400 г / 230 дин</x:v>
      </x:c>
    </x:row>
    <x:row r="8">
      <x:c r="A8" s="23" t="str">
        <x:v>P-004</x:v>
      </x:c>
      <x:c r="B8" s="23" t="str">
        <x:v>Скир</x:v>
      </x:c>
      <x:c r="C8" s="23" t="str">
        <x:v>Молочные</x:v>
      </x:c>
      <x:c r="D8" s="23" t="str">
        <x:v>г</x:v>
      </x:c>
      <x:c r="E8" s="26" t="n">
        <x:v>226</x:v>
      </x:c>
      <x:c r="F8" s="26" t="n">
        <x:v>500</x:v>
      </x:c>
      <x:c r="G8" s="26" t="n">
        <x:v>45.2</x:v>
      </x:c>
      <x:c r="H8" s="26" t="n">
        <x:v>62</x:v>
      </x:c>
      <x:c r="I8" s="26" t="n">
        <x:v>11</x:v>
      </x:c>
      <x:c r="J8" s="26" t="n">
        <x:v>0.2</x:v>
      </x:c>
      <x:c r="K8" s="26" t="n">
        <x:v>4</x:v>
      </x:c>
      <x:c r="L8" s="23" t="str">
        <x:v>Подтверждено</x:v>
      </x:c>
      <x:c r="M8" s="23" t="str">
        <x:v>500 г / 226 дин</x:v>
      </x:c>
    </x:row>
    <x:row r="9">
      <x:c r="A9" s="23" t="str">
        <x:v>P-005</x:v>
      </x:c>
      <x:c r="B9" s="23" t="str">
        <x:v>Греческий йогурт 2%</x:v>
      </x:c>
      <x:c r="C9" s="23" t="str">
        <x:v>Молочные</x:v>
      </x:c>
      <x:c r="D9" s="23" t="str">
        <x:v>г</x:v>
      </x:c>
      <x:c r="E9" s="26" t="n">
        <x:v>100</x:v>
      </x:c>
      <x:c r="F9" s="26" t="n">
        <x:v>500</x:v>
      </x:c>
      <x:c r="G9" s="26" t="n">
        <x:v>20</x:v>
      </x:c>
      <x:c r="H9" s="26" t="n">
        <x:v>73</x:v>
      </x:c>
      <x:c r="I9" s="26" t="n">
        <x:v>5</x:v>
      </x:c>
      <x:c r="J9" s="26" t="n">
        <x:v>2</x:v>
      </x:c>
      <x:c r="K9" s="26" t="n">
        <x:v>4</x:v>
      </x:c>
      <x:c r="L9" s="23" t="str">
        <x:v>Оценка</x:v>
      </x:c>
      <x:c r="M9" s="23" t="str">
        <x:v>углеводы и ккал оценочные</x:v>
      </x:c>
    </x:row>
    <x:row r="10">
      <x:c r="A10" s="23" t="str">
        <x:v>P-006</x:v>
      </x:c>
      <x:c r="B10" s="23" t="str">
        <x:v>Маскарпоне 42,5%</x:v>
      </x:c>
      <x:c r="C10" s="23" t="str">
        <x:v>Молочные</x:v>
      </x:c>
      <x:c r="D10" s="23" t="str">
        <x:v>г</x:v>
      </x:c>
      <x:c r="E10" s="26" t="n">
        <x:v>314</x:v>
      </x:c>
      <x:c r="F10" s="26" t="n">
        <x:v>220</x:v>
      </x:c>
      <x:c r="G10" s="26" t="n">
        <x:v>142.73</x:v>
      </x:c>
      <x:c r="H10" s="26" t="n">
        <x:v>430</x:v>
      </x:c>
      <x:c r="I10" s="26" t="n">
        <x:v>5</x:v>
      </x:c>
      <x:c r="J10" s="26" t="n">
        <x:v>42.5</x:v>
      </x:c>
      <x:c r="K10" s="26" t="n">
        <x:v>4</x:v>
      </x:c>
      <x:c r="L10" s="23" t="str">
        <x:v>Подтверждено</x:v>
      </x:c>
      <x:c r="M10" s="23" t="str">
        <x:v>220 г / 314 дин</x:v>
      </x:c>
    </x:row>
    <x:row r="11">
      <x:c r="A11" s="23" t="str">
        <x:v>P-007</x:v>
      </x:c>
      <x:c r="B11" s="23" t="str">
        <x:v>Моцарелла light</x:v>
      </x:c>
      <x:c r="C11" s="23" t="str">
        <x:v>Сыры</x:v>
      </x:c>
      <x:c r="D11" s="23" t="str">
        <x:v>г</x:v>
      </x:c>
      <x:c r="E11" s="26" t="n">
        <x:v>114</x:v>
      </x:c>
      <x:c r="F11" s="26" t="n">
        <x:v>125</x:v>
      </x:c>
      <x:c r="G11" s="26" t="n">
        <x:v>91.2</x:v>
      </x:c>
      <x:c r="H11" s="26" t="n">
        <x:v>164</x:v>
      </x:c>
      <x:c r="I11" s="26" t="n">
        <x:v>20.4</x:v>
      </x:c>
      <x:c r="J11" s="26" t="n">
        <x:v>8.5</x:v>
      </x:c>
      <x:c r="K11" s="26" t="n">
        <x:v>1.5</x:v>
      </x:c>
      <x:c r="L11" s="23" t="str">
        <x:v>Подтверждено</x:v>
      </x:c>
      <x:c r="M11" s="23" t="str">
        <x:v>125 г / 114 дин</x:v>
      </x:c>
    </x:row>
    <x:row r="12">
      <x:c r="A12" s="23" t="str">
        <x:v>P-008</x:v>
      </x:c>
      <x:c r="B12" s="23" t="str">
        <x:v>Пармиджано Реджано</x:v>
      </x:c>
      <x:c r="C12" s="23" t="str">
        <x:v>Сыры</x:v>
      </x:c>
      <x:c r="D12" s="23" t="str">
        <x:v>г</x:v>
      </x:c>
      <x:c r="E12" s="26" t="n">
        <x:v>3200</x:v>
      </x:c>
      <x:c r="F12" s="26" t="n">
        <x:v>1000</x:v>
      </x:c>
      <x:c r="G12" s="26" t="n">
        <x:v>320</x:v>
      </x:c>
      <x:c r="H12" s="26" t="n">
        <x:v>400</x:v>
      </x:c>
      <x:c r="I12" s="26" t="n">
        <x:v>36</x:v>
      </x:c>
      <x:c r="J12" s="26" t="n">
        <x:v>29</x:v>
      </x:c>
      <x:c r="K12" s="26" t="n">
        <x:v>4</x:v>
      </x:c>
      <x:c r="L12" s="23" t="str">
        <x:v>Оценка</x:v>
      </x:c>
      <x:c r="M12" s="23" t="str">
        <x:v>КБЖУ средние</x:v>
      </x:c>
    </x:row>
    <x:row r="13">
      <x:c r="A13" s="23" t="str">
        <x:v>P-009</x:v>
      </x:c>
      <x:c r="B13" s="23" t="str">
        <x:v>Тунец в собственном соку</x:v>
      </x:c>
      <x:c r="C13" s="23" t="str">
        <x:v>Рыба</x:v>
      </x:c>
      <x:c r="D13" s="23" t="str">
        <x:v>г</x:v>
      </x:c>
      <x:c r="E13" s="26" t="n">
        <x:v>140</x:v>
      </x:c>
      <x:c r="F13" s="26" t="n">
        <x:v>160</x:v>
      </x:c>
      <x:c r="G13" s="26" t="n">
        <x:v>87.5</x:v>
      </x:c>
      <x:c r="H13" s="26" t="n">
        <x:v>116</x:v>
      </x:c>
      <x:c r="I13" s="26" t="n">
        <x:v>26</x:v>
      </x:c>
      <x:c r="J13" s="26" t="n">
        <x:v>1</x:v>
      </x:c>
      <x:c r="K13" s="26" t="n">
        <x:v>0</x:v>
      </x:c>
      <x:c r="L13" s="23" t="str">
        <x:v>Подтверждено</x:v>
      </x:c>
      <x:c r="M13" s="23" t="str">
        <x:v>1 банка</x:v>
      </x:c>
    </x:row>
    <x:row r="14">
      <x:c r="A14" s="23" t="str">
        <x:v>P-010</x:v>
      </x:c>
      <x:c r="B14" s="23" t="str">
        <x:v>Куриное филе грудки</x:v>
      </x:c>
      <x:c r="C14" s="23" t="str">
        <x:v>Мясо</x:v>
      </x:c>
      <x:c r="D14" s="23" t="str">
        <x:v>г</x:v>
      </x:c>
      <x:c r="E14" s="26"/>
      <x:c r="F14" s="26"/>
      <x:c r="G14" s="26"/>
      <x:c r="H14" s="26" t="n">
        <x:v>110</x:v>
      </x:c>
      <x:c r="I14" s="26" t="n">
        <x:v>23</x:v>
      </x:c>
      <x:c r="J14" s="26" t="n">
        <x:v>1.2</x:v>
      </x:c>
      <x:c r="K14" s="26" t="n">
        <x:v>0</x:v>
      </x:c>
      <x:c r="L14" s="23" t="str">
        <x:v>Оценка</x:v>
      </x:c>
      <x:c r="M14" s="23" t="str">
        <x:v>цена не предоставлена</x:v>
      </x:c>
    </x:row>
    <x:row r="15">
      <x:c r="A15" s="23" t="str">
        <x:v>P-011</x:v>
      </x:c>
      <x:c r="B15" s="23" t="str">
        <x:v>Филе куриного бедра</x:v>
      </x:c>
      <x:c r="C15" s="23" t="str">
        <x:v>Мясо</x:v>
      </x:c>
      <x:c r="D15" s="23" t="str">
        <x:v>г</x:v>
      </x:c>
      <x:c r="E15" s="26" t="n">
        <x:v>330</x:v>
      </x:c>
      <x:c r="F15" s="26" t="n">
        <x:v>780</x:v>
      </x:c>
      <x:c r="G15" s="26" t="n">
        <x:v>42.31</x:v>
      </x:c>
      <x:c r="H15" s="26" t="n">
        <x:v>165</x:v>
      </x:c>
      <x:c r="I15" s="26" t="n">
        <x:v>19</x:v>
      </x:c>
      <x:c r="J15" s="26" t="n">
        <x:v>9</x:v>
      </x:c>
      <x:c r="K15" s="26" t="n">
        <x:v>0</x:v>
      </x:c>
      <x:c r="L15" s="23" t="str">
        <x:v>Оценка</x:v>
      </x:c>
      <x:c r="M15" s="23" t="str">
        <x:v>КБЖУ средние</x:v>
      </x:c>
    </x:row>
    <x:row r="16">
      <x:c r="A16" s="23" t="str">
        <x:v>P-012</x:v>
      </x:c>
      <x:c r="B16" s="23" t="str">
        <x:v>Куриные желудки</x:v>
      </x:c>
      <x:c r="C16" s="23" t="str">
        <x:v>Мясо</x:v>
      </x:c>
      <x:c r="D16" s="23" t="str">
        <x:v>г</x:v>
      </x:c>
      <x:c r="E16" s="26" t="n">
        <x:v>145</x:v>
      </x:c>
      <x:c r="F16" s="26" t="n">
        <x:v>450</x:v>
      </x:c>
      <x:c r="G16" s="26" t="n">
        <x:v>32.22</x:v>
      </x:c>
      <x:c r="H16" s="26" t="n">
        <x:v>94</x:v>
      </x:c>
      <x:c r="I16" s="26" t="n">
        <x:v>18</x:v>
      </x:c>
      <x:c r="J16" s="26" t="n">
        <x:v>2</x:v>
      </x:c>
      <x:c r="K16" s="26" t="n">
        <x:v>0.6</x:v>
      </x:c>
      <x:c r="L16" s="23" t="str">
        <x:v>Оценка</x:v>
      </x:c>
      <x:c r="M16" s="23" t="str">
        <x:v>КБЖУ средние</x:v>
      </x:c>
    </x:row>
    <x:row r="17">
      <x:c r="A17" s="23" t="str">
        <x:v>P-013</x:v>
      </x:c>
      <x:c r="B17" s="23" t="str">
        <x:v>Креветки королевские в панцире</x:v>
      </x:c>
      <x:c r="C17" s="23" t="str">
        <x:v>Морепродукты</x:v>
      </x:c>
      <x:c r="D17" s="23" t="str">
        <x:v>г</x:v>
      </x:c>
      <x:c r="E17" s="26" t="n">
        <x:v>800</x:v>
      </x:c>
      <x:c r="F17" s="26" t="n">
        <x:v>400</x:v>
      </x:c>
      <x:c r="G17" s="26" t="n">
        <x:v>200</x:v>
      </x:c>
      <x:c r="H17" s="26" t="n">
        <x:v>99</x:v>
      </x:c>
      <x:c r="I17" s="26" t="n">
        <x:v>24</x:v>
      </x:c>
      <x:c r="J17" s="26" t="n">
        <x:v>0.3</x:v>
      </x:c>
      <x:c r="K17" s="26" t="n">
        <x:v>0.2</x:v>
      </x:c>
      <x:c r="L17" s="23" t="str">
        <x:v>Оценка</x:v>
      </x:c>
      <x:c r="M17" s="23" t="str">
        <x:v>в рецепте 400 г покупки ≈200 г мяса</x:v>
      </x:c>
    </x:row>
    <x:row r="18">
      <x:c r="A18" s="23" t="str">
        <x:v>P-014</x:v>
      </x:c>
      <x:c r="B18" s="23" t="str">
        <x:v>Говяжий фарш 7%</x:v>
      </x:c>
      <x:c r="C18" s="23" t="str">
        <x:v>Мясо</x:v>
      </x:c>
      <x:c r="D18" s="23" t="str">
        <x:v>г</x:v>
      </x:c>
      <x:c r="E18" s="26" t="n">
        <x:v>630</x:v>
      </x:c>
      <x:c r="F18" s="26" t="n">
        <x:v>400</x:v>
      </x:c>
      <x:c r="G18" s="26" t="n">
        <x:v>157.5</x:v>
      </x:c>
      <x:c r="H18" s="26" t="n">
        <x:v>151</x:v>
      </x:c>
      <x:c r="I18" s="26" t="n">
        <x:v>21</x:v>
      </x:c>
      <x:c r="J18" s="26" t="n">
        <x:v>7</x:v>
      </x:c>
      <x:c r="K18" s="26" t="n">
        <x:v>0</x:v>
      </x:c>
      <x:c r="L18" s="23" t="str">
        <x:v>Оценка</x:v>
      </x:c>
      <x:c r="M18" s="23" t="str">
        <x:v>КБЖУ средние</x:v>
      </x:c>
    </x:row>
    <x:row r="19">
      <x:c r="A19" s="23" t="str">
        <x:v>P-015</x:v>
      </x:c>
      <x:c r="B19" s="23" t="str">
        <x:v>Протеиновая тортилья</x:v>
      </x:c>
      <x:c r="C19" s="23" t="str">
        <x:v>Основа</x:v>
      </x:c>
      <x:c r="D19" s="23" t="str">
        <x:v>г</x:v>
      </x:c>
      <x:c r="E19" s="26" t="n">
        <x:v>180</x:v>
      </x:c>
      <x:c r="F19" s="26" t="n">
        <x:v>360</x:v>
      </x:c>
      <x:c r="G19" s="26" t="n">
        <x:v>50</x:v>
      </x:c>
      <x:c r="H19" s="26" t="n">
        <x:v>279</x:v>
      </x:c>
      <x:c r="I19" s="26" t="n">
        <x:v>18</x:v>
      </x:c>
      <x:c r="J19" s="26" t="n">
        <x:v>7</x:v>
      </x:c>
      <x:c r="K19" s="26" t="n">
        <x:v>37</x:v>
      </x:c>
      <x:c r="L19" s="23" t="str">
        <x:v>Подтверждено</x:v>
      </x:c>
      <x:c r="M19" s="23" t="str">
        <x:v>КБЖУ на 100 г</x:v>
      </x:c>
    </x:row>
    <x:row r="20">
      <x:c r="A20" s="23" t="str">
        <x:v>P-016</x:v>
      </x:c>
      <x:c r="B20" s="23" t="str">
        <x:v>Паста</x:v>
      </x:c>
      <x:c r="C20" s="23" t="str">
        <x:v>Основа</x:v>
      </x:c>
      <x:c r="D20" s="23" t="str">
        <x:v>г</x:v>
      </x:c>
      <x:c r="E20" s="26" t="n">
        <x:v>140</x:v>
      </x:c>
      <x:c r="F20" s="26" t="n">
        <x:v>250</x:v>
      </x:c>
      <x:c r="G20" s="26" t="n">
        <x:v>56</x:v>
      </x:c>
      <x:c r="H20" s="26" t="n">
        <x:v>311</x:v>
      </x:c>
      <x:c r="I20" s="26" t="n">
        <x:v>9.8</x:v>
      </x:c>
      <x:c r="J20" s="26" t="n">
        <x:v>3.2</x:v>
      </x:c>
      <x:c r="K20" s="26" t="n">
        <x:v>52.8</x:v>
      </x:c>
      <x:c r="L20" s="23" t="str">
        <x:v>Подтверждено</x:v>
      </x:c>
      <x:c r="M20" s="23" t="str">
        <x:v>КБЖУ на 100 г</x:v>
      </x:c>
    </x:row>
    <x:row r="21">
      <x:c r="A21" s="23" t="str">
        <x:v>P-017</x:v>
      </x:c>
      <x:c r="B21" s="23" t="str">
        <x:v>Рис сухой</x:v>
      </x:c>
      <x:c r="C21" s="23" t="str">
        <x:v>Крупы</x:v>
      </x:c>
      <x:c r="D21" s="23" t="str">
        <x:v>г</x:v>
      </x:c>
      <x:c r="E21" s="26" t="n">
        <x:v>180</x:v>
      </x:c>
      <x:c r="F21" s="26" t="n">
        <x:v>1000</x:v>
      </x:c>
      <x:c r="G21" s="26" t="n">
        <x:v>18</x:v>
      </x:c>
      <x:c r="H21" s="26" t="n">
        <x:v>344</x:v>
      </x:c>
      <x:c r="I21" s="26" t="n">
        <x:v>7</x:v>
      </x:c>
      <x:c r="J21" s="26" t="n">
        <x:v>0.6</x:v>
      </x:c>
      <x:c r="K21" s="26" t="n">
        <x:v>78</x:v>
      </x:c>
      <x:c r="L21" s="23" t="str">
        <x:v>Оценка</x:v>
      </x:c>
      <x:c r="M21" s="23" t="str">
        <x:v>КБЖУ средние</x:v>
      </x:c>
    </x:row>
    <x:row r="22">
      <x:c r="A22" s="23" t="str">
        <x:v>P-018</x:v>
      </x:c>
      <x:c r="B22" s="23" t="str">
        <x:v>Киноа сухая</x:v>
      </x:c>
      <x:c r="C22" s="23" t="str">
        <x:v>Крупы</x:v>
      </x:c>
      <x:c r="D22" s="23" t="str">
        <x:v>г</x:v>
      </x:c>
      <x:c r="E22" s="26" t="n">
        <x:v>300</x:v>
      </x:c>
      <x:c r="F22" s="26" t="n">
        <x:v>350</x:v>
      </x:c>
      <x:c r="G22" s="26" t="n">
        <x:v>85.71</x:v>
      </x:c>
      <x:c r="H22" s="26" t="n">
        <x:v>368</x:v>
      </x:c>
      <x:c r="I22" s="26" t="n">
        <x:v>14</x:v>
      </x:c>
      <x:c r="J22" s="26" t="n">
        <x:v>6</x:v>
      </x:c>
      <x:c r="K22" s="26" t="n">
        <x:v>64</x:v>
      </x:c>
      <x:c r="L22" s="23" t="str">
        <x:v>Оценка</x:v>
      </x:c>
      <x:c r="M22" s="23" t="str">
        <x:v>КБЖУ средние</x:v>
      </x:c>
    </x:row>
    <x:row r="23">
      <x:c r="A23" s="23" t="str">
        <x:v>P-019</x:v>
      </x:c>
      <x:c r="B23" s="23" t="str">
        <x:v>Перловка Aro сухая</x:v>
      </x:c>
      <x:c r="C23" s="23" t="str">
        <x:v>Крупы</x:v>
      </x:c>
      <x:c r="D23" s="23" t="str">
        <x:v>г</x:v>
      </x:c>
      <x:c r="E23" s="26"/>
      <x:c r="F23" s="26"/>
      <x:c r="G23" s="26"/>
      <x:c r="H23" s="26" t="n">
        <x:v>321</x:v>
      </x:c>
      <x:c r="I23" s="26" t="n">
        <x:v>9.3</x:v>
      </x:c>
      <x:c r="J23" s="26" t="n">
        <x:v>1.1</x:v>
      </x:c>
      <x:c r="K23" s="26" t="n">
        <x:v>68.4</x:v>
      </x:c>
      <x:c r="L23" s="23" t="str">
        <x:v>Подтверждено</x:v>
      </x:c>
      <x:c r="M23" s="23" t="str">
        <x:v>цена не предоставлена</x:v>
      </x:c>
    </x:row>
    <x:row r="24">
      <x:c r="A24" s="23" t="str">
        <x:v>P-020</x:v>
      </x:c>
      <x:c r="B24" s="23" t="str">
        <x:v>Помидор</x:v>
      </x:c>
      <x:c r="C24" s="23" t="str">
        <x:v>Овощи</x:v>
      </x:c>
      <x:c r="D24" s="23" t="str">
        <x:v>г</x:v>
      </x:c>
      <x:c r="E24" s="26" t="n">
        <x:v>200</x:v>
      </x:c>
      <x:c r="F24" s="26" t="n">
        <x:v>1000</x:v>
      </x:c>
      <x:c r="G24" s="26" t="n">
        <x:v>20</x:v>
      </x:c>
      <x:c r="H24" s="26" t="n">
        <x:v>18</x:v>
      </x:c>
      <x:c r="I24" s="26" t="n">
        <x:v>0.9</x:v>
      </x:c>
      <x:c r="J24" s="26" t="n">
        <x:v>0.2</x:v>
      </x:c>
      <x:c r="K24" s="26" t="n">
        <x:v>3.9</x:v>
      </x:c>
      <x:c r="L24" s="23" t="str">
        <x:v>Оценка</x:v>
      </x:c>
      <x:c r="M24" s="23" t="str">
        <x:v>КБЖУ средние</x:v>
      </x:c>
    </x:row>
    <x:row r="25">
      <x:c r="A25" s="23" t="str">
        <x:v>P-021</x:v>
      </x:c>
      <x:c r="B25" s="23" t="str">
        <x:v>Огурец</x:v>
      </x:c>
      <x:c r="C25" s="23" t="str">
        <x:v>Овощи</x:v>
      </x:c>
      <x:c r="D25" s="23" t="str">
        <x:v>г</x:v>
      </x:c>
      <x:c r="E25" s="26" t="n">
        <x:v>84</x:v>
      </x:c>
      <x:c r="F25" s="26" t="n">
        <x:v>400</x:v>
      </x:c>
      <x:c r="G25" s="26" t="n">
        <x:v>21</x:v>
      </x:c>
      <x:c r="H25" s="26" t="n">
        <x:v>15</x:v>
      </x:c>
      <x:c r="I25" s="26" t="n">
        <x:v>0.7</x:v>
      </x:c>
      <x:c r="J25" s="26" t="n">
        <x:v>0.1</x:v>
      </x:c>
      <x:c r="K25" s="26" t="n">
        <x:v>3.3</x:v>
      </x:c>
      <x:c r="L25" s="23" t="str">
        <x:v>Оценка</x:v>
      </x:c>
      <x:c r="M25" s="23" t="str">
        <x:v>КБЖУ средние</x:v>
      </x:c>
    </x:row>
    <x:row r="26">
      <x:c r="A26" s="23" t="str">
        <x:v>P-022</x:v>
      </x:c>
      <x:c r="B26" s="23" t="str">
        <x:v>Баклажан</x:v>
      </x:c>
      <x:c r="C26" s="23" t="str">
        <x:v>Овощи</x:v>
      </x:c>
      <x:c r="D26" s="23" t="str">
        <x:v>г</x:v>
      </x:c>
      <x:c r="E26" s="26" t="n">
        <x:v>230</x:v>
      </x:c>
      <x:c r="F26" s="26" t="n">
        <x:v>1000</x:v>
      </x:c>
      <x:c r="G26" s="26" t="n">
        <x:v>23</x:v>
      </x:c>
      <x:c r="H26" s="26" t="n">
        <x:v>25</x:v>
      </x:c>
      <x:c r="I26" s="26" t="n">
        <x:v>1</x:v>
      </x:c>
      <x:c r="J26" s="26" t="n">
        <x:v>0.1</x:v>
      </x:c>
      <x:c r="K26" s="26" t="n">
        <x:v>6</x:v>
      </x:c>
      <x:c r="L26" s="23" t="str">
        <x:v>Оценка</x:v>
      </x:c>
      <x:c r="M26" s="23" t="str">
        <x:v>КБЖУ средние</x:v>
      </x:c>
    </x:row>
    <x:row r="27">
      <x:c r="A27" s="23" t="str">
        <x:v>P-023</x:v>
      </x:c>
      <x:c r="B27" s="23" t="str">
        <x:v>Брокколи</x:v>
      </x:c>
      <x:c r="C27" s="23" t="str">
        <x:v>Овощи</x:v>
      </x:c>
      <x:c r="D27" s="23" t="str">
        <x:v>г</x:v>
      </x:c>
      <x:c r="E27" s="26"/>
      <x:c r="F27" s="26"/>
      <x:c r="G27" s="26"/>
      <x:c r="H27" s="26" t="n">
        <x:v>34</x:v>
      </x:c>
      <x:c r="I27" s="26" t="n">
        <x:v>2.8</x:v>
      </x:c>
      <x:c r="J27" s="26" t="n">
        <x:v>0.4</x:v>
      </x:c>
      <x:c r="K27" s="26" t="n">
        <x:v>6.6</x:v>
      </x:c>
      <x:c r="L27" s="23" t="str">
        <x:v>Оценка</x:v>
      </x:c>
      <x:c r="M27" s="23" t="str">
        <x:v>цена не предоставлена</x:v>
      </x:c>
    </x:row>
    <x:row r="28">
      <x:c r="A28" s="23" t="str">
        <x:v>P-024</x:v>
      </x:c>
      <x:c r="B28" s="23" t="str">
        <x:v>Голубика</x:v>
      </x:c>
      <x:c r="C28" s="23" t="str">
        <x:v>Ягоды</x:v>
      </x:c>
      <x:c r="D28" s="23" t="str">
        <x:v>г</x:v>
      </x:c>
      <x:c r="E28" s="26"/>
      <x:c r="F28" s="26"/>
      <x:c r="G28" s="26"/>
      <x:c r="H28" s="26" t="n">
        <x:v>57</x:v>
      </x:c>
      <x:c r="I28" s="26" t="n">
        <x:v>0.7</x:v>
      </x:c>
      <x:c r="J28" s="26" t="n">
        <x:v>0.3</x:v>
      </x:c>
      <x:c r="K28" s="26" t="n">
        <x:v>14.5</x:v>
      </x:c>
      <x:c r="L28" s="23" t="str">
        <x:v>Оценка</x:v>
      </x:c>
      <x:c r="M28" s="23" t="str">
        <x:v>цена не предоставлена</x:v>
      </x:c>
    </x:row>
    <x:row r="29">
      <x:c r="A29" s="23" t="str">
        <x:v>P-025</x:v>
      </x:c>
      <x:c r="B29" s="23" t="str">
        <x:v>Ежевика</x:v>
      </x:c>
      <x:c r="C29" s="23" t="str">
        <x:v>Ягоды</x:v>
      </x:c>
      <x:c r="D29" s="23" t="str">
        <x:v>г</x:v>
      </x:c>
      <x:c r="E29" s="26" t="n">
        <x:v>300</x:v>
      </x:c>
      <x:c r="F29" s="26" t="n">
        <x:v>350</x:v>
      </x:c>
      <x:c r="G29" s="26" t="n">
        <x:v>85.71</x:v>
      </x:c>
      <x:c r="H29" s="26" t="n">
        <x:v>43</x:v>
      </x:c>
      <x:c r="I29" s="26" t="n">
        <x:v>1.4</x:v>
      </x:c>
      <x:c r="J29" s="26" t="n">
        <x:v>0.5</x:v>
      </x:c>
      <x:c r="K29" s="26" t="n">
        <x:v>9.6</x:v>
      </x:c>
      <x:c r="L29" s="23" t="str">
        <x:v>Оценка</x:v>
      </x:c>
      <x:c r="M29" s="23" t="str">
        <x:v>КБЖУ средние</x:v>
      </x:c>
    </x:row>
    <x:row r="30">
      <x:c r="A30" s="23" t="str">
        <x:v>P-026</x:v>
      </x:c>
      <x:c r="B30" s="23" t="str">
        <x:v>Кленовый сироп</x:v>
      </x:c>
      <x:c r="C30" s="23" t="str">
        <x:v>Добавки</x:v>
      </x:c>
      <x:c r="D30" s="23" t="str">
        <x:v>мл</x:v>
      </x:c>
      <x:c r="E30" s="26" t="n">
        <x:v>600</x:v>
      </x:c>
      <x:c r="F30" s="26" t="n">
        <x:v>350</x:v>
      </x:c>
      <x:c r="G30" s="26" t="n">
        <x:v>171.43</x:v>
      </x:c>
      <x:c r="H30" s="26" t="n">
        <x:v>344</x:v>
      </x:c>
      <x:c r="I30" s="26" t="n">
        <x:v>0</x:v>
      </x:c>
      <x:c r="J30" s="26" t="n">
        <x:v>0</x:v>
      </x:c>
      <x:c r="K30" s="26" t="n">
        <x:v>89.6</x:v>
      </x:c>
      <x:c r="L30" s="23" t="str">
        <x:v>Оценка</x:v>
      </x:c>
      <x:c r="M30" s="23" t="str">
        <x:v>на 100 мл, 25 мл ≈86 ккал</x:v>
      </x:c>
    </x:row>
    <x:row r="31">
      <x:c r="A31" s="23" t="str">
        <x:v>P-027</x:v>
      </x:c>
      <x:c r="B31" s="23" t="str">
        <x:v>Оливковое масло</x:v>
      </x:c>
      <x:c r="C31" s="23" t="str">
        <x:v>Масла</x:v>
      </x:c>
      <x:c r="D31" s="23" t="str">
        <x:v>мл</x:v>
      </x:c>
      <x:c r="E31" s="26" t="n">
        <x:v>800</x:v>
      </x:c>
      <x:c r="F31" s="26" t="n">
        <x:v>1000</x:v>
      </x:c>
      <x:c r="G31" s="26" t="n">
        <x:v>80</x:v>
      </x:c>
      <x:c r="H31" s="26" t="n">
        <x:v>884</x:v>
      </x:c>
      <x:c r="I31" s="26" t="n">
        <x:v>0</x:v>
      </x:c>
      <x:c r="J31" s="26" t="n">
        <x:v>100</x:v>
      </x:c>
      <x:c r="K31" s="26" t="n">
        <x:v>0</x:v>
      </x:c>
      <x:c r="L31" s="23" t="str">
        <x:v>Оценка</x:v>
      </x:c>
      <x:c r="M31" s="23" t="str">
        <x:v>1 ч.л. = 5 мл</x:v>
      </x:c>
    </x:row>
    <x:row r="32">
      <x:c r="A32" s="23" t="str">
        <x:v>P-028</x:v>
      </x:c>
      <x:c r="B32" s="23" t="str">
        <x:v>Растительное масло</x:v>
      </x:c>
      <x:c r="C32" s="23" t="str">
        <x:v>Масла</x:v>
      </x:c>
      <x:c r="D32" s="23" t="str">
        <x:v>мл</x:v>
      </x:c>
      <x:c r="E32" s="26"/>
      <x:c r="F32" s="26"/>
      <x:c r="G32" s="26"/>
      <x:c r="H32" s="26" t="n">
        <x:v>884</x:v>
      </x:c>
      <x:c r="I32" s="26" t="n">
        <x:v>0</x:v>
      </x:c>
      <x:c r="J32" s="26" t="n">
        <x:v>100</x:v>
      </x:c>
      <x:c r="K32" s="26" t="n">
        <x:v>0</x:v>
      </x:c>
      <x:c r="L32" s="23" t="str">
        <x:v>Оценка</x:v>
      </x:c>
      <x:c r="M32" s="23" t="str">
        <x:v>цена не предоставлена</x:v>
      </x:c>
    </x:row>
    <x:row r="33">
      <x:c r="A33" s="23" t="str">
        <x:v>P-029</x:v>
      </x:c>
      <x:c r="B33" s="23" t="str">
        <x:v>Соус для пиццы/пасты</x:v>
      </x:c>
      <x:c r="C33" s="23" t="str">
        <x:v>Соусы</x:v>
      </x:c>
      <x:c r="D33" s="23" t="str">
        <x:v>г</x:v>
      </x:c>
      <x:c r="E33" s="26" t="n">
        <x:v>177</x:v>
      </x:c>
      <x:c r="F33" s="26" t="n">
        <x:v>360</x:v>
      </x:c>
      <x:c r="G33" s="26" t="n">
        <x:v>49.17</x:v>
      </x:c>
      <x:c r="H33" s="26" t="n">
        <x:v>85.5</x:v>
      </x:c>
      <x:c r="I33" s="26" t="n">
        <x:v>1.8</x:v>
      </x:c>
      <x:c r="J33" s="26" t="n">
        <x:v>7</x:v>
      </x:c>
      <x:c r="K33" s="26" t="n">
        <x:v>5.3</x:v>
      </x:c>
      <x:c r="L33" s="23" t="str">
        <x:v>Подтверждено</x:v>
      </x:c>
      <x:c r="M33" s="23" t="str">
        <x:v>КБЖУ на 100 г</x:v>
      </x:c>
    </x:row>
    <x:row r="34">
      <x:c r="A34" s="23" t="str">
        <x:v>P-030</x:v>
      </x:c>
      <x:c r="B34" s="23" t="str">
        <x:v>Вяленые томаты в масле</x:v>
      </x:c>
      <x:c r="C34" s="23" t="str">
        <x:v>Овощи</x:v>
      </x:c>
      <x:c r="D34" s="23" t="str">
        <x:v>г</x:v>
      </x:c>
      <x:c r="E34" s="26" t="n">
        <x:v>2500</x:v>
      </x:c>
      <x:c r="F34" s="26" t="n">
        <x:v>1000</x:v>
      </x:c>
      <x:c r="G34" s="26" t="n">
        <x:v>250</x:v>
      </x:c>
      <x:c r="H34" s="26" t="n">
        <x:v>260</x:v>
      </x:c>
      <x:c r="I34" s="26" t="n">
        <x:v>6</x:v>
      </x:c>
      <x:c r="J34" s="26" t="n">
        <x:v>16</x:v>
      </x:c>
      <x:c r="K34" s="26" t="n">
        <x:v>23</x:v>
      </x:c>
      <x:c r="L34" s="23" t="str">
        <x:v>Оценка</x:v>
      </x:c>
      <x:c r="M34" s="23" t="str">
        <x:v>КБЖУ средние</x:v>
      </x:c>
    </x:row>
    <x:row r="35">
      <x:c r="A35" s="23" t="str">
        <x:v>P-031</x:v>
      </x:c>
      <x:c r="B35" s="23" t="str">
        <x:v>Чеснок</x:v>
      </x:c>
      <x:c r="C35" s="23" t="str">
        <x:v>Овощи</x:v>
      </x:c>
      <x:c r="D35" s="23" t="str">
        <x:v>г</x:v>
      </x:c>
      <x:c r="E35" s="26" t="n">
        <x:v>200</x:v>
      </x:c>
      <x:c r="F35" s="26" t="n">
        <x:v>300</x:v>
      </x:c>
      <x:c r="G35" s="26" t="n">
        <x:v>66.67</x:v>
      </x:c>
      <x:c r="H35" s="26" t="n">
        <x:v>149</x:v>
      </x:c>
      <x:c r="I35" s="26" t="n">
        <x:v>6.4</x:v>
      </x:c>
      <x:c r="J35" s="26" t="n">
        <x:v>0.5</x:v>
      </x:c>
      <x:c r="K35" s="26" t="n">
        <x:v>33.1</x:v>
      </x:c>
      <x:c r="L35" s="23" t="str">
        <x:v>Оценка</x:v>
      </x:c>
      <x:c r="M35" s="23" t="str">
        <x:v>КБЖУ средние</x:v>
      </x:c>
    </x:row>
    <x:row r="36">
      <x:c r="A36" s="23" t="str">
        <x:v>P-032</x:v>
      </x:c>
      <x:c r="B36" s="23" t="str">
        <x:v>Укроп / петрушка</x:v>
      </x:c>
      <x:c r="C36" s="23" t="str">
        <x:v>Зелень</x:v>
      </x:c>
      <x:c r="D36" s="23" t="str">
        <x:v>г</x:v>
      </x:c>
      <x:c r="E36" s="26" t="n">
        <x:v>110</x:v>
      </x:c>
      <x:c r="F36" s="26" t="n">
        <x:v>20</x:v>
      </x:c>
      <x:c r="G36" s="26" t="n">
        <x:v>550</x:v>
      </x:c>
      <x:c r="H36" s="26" t="n">
        <x:v>36</x:v>
      </x:c>
      <x:c r="I36" s="26" t="n">
        <x:v>3</x:v>
      </x:c>
      <x:c r="J36" s="26" t="n">
        <x:v>0.8</x:v>
      </x:c>
      <x:c r="K36" s="26" t="n">
        <x:v>6</x:v>
      </x:c>
      <x:c r="L36" s="23" t="str">
        <x:v>Оценка</x:v>
      </x:c>
      <x:c r="M36" s="23" t="str">
        <x:v>цена одинаковая</x:v>
      </x:c>
    </x:row>
    <x:row r="37">
      <x:c r="A37" s="23" t="str">
        <x:v>P-033</x:v>
      </x:c>
      <x:c r="B37" s="23" t="str">
        <x:v>Бездрожжевой хлеб Lidl</x:v>
      </x:c>
      <x:c r="C37" s="23" t="str">
        <x:v>Хлеб</x:v>
      </x:c>
      <x:c r="D37" s="23" t="str">
        <x:v>г</x:v>
      </x:c>
      <x:c r="E37" s="26"/>
      <x:c r="F37" s="26" t="n">
        <x:v>350</x:v>
      </x:c>
      <x:c r="G37" s="26"/>
      <x:c r="H37" s="26" t="n">
        <x:v>230</x:v>
      </x:c>
      <x:c r="I37" s="26" t="n">
        <x:v>8</x:v>
      </x:c>
      <x:c r="J37" s="26" t="n">
        <x:v>2</x:v>
      </x:c>
      <x:c r="K37" s="26" t="n">
        <x:v>44</x:v>
      </x:c>
      <x:c r="L37" s="23" t="str">
        <x:v>Оценка</x:v>
      </x:c>
      <x:c r="M37" s="23" t="str">
        <x:v>ломтик ≈25 г; КБЖУ оценочные</x:v>
      </x:c>
    </x:row>
    <x:row r="38">
      <x:c r="A38" s="23" t="str">
        <x:v>P-034</x:v>
      </x:c>
      <x:c r="B38" s="23" t="str">
        <x:v>Фруктово-протеиновый снек</x:v>
      </x:c>
      <x:c r="C38" s="23" t="str">
        <x:v>Перекусы</x:v>
      </x:c>
      <x:c r="D38" s="23" t="str">
        <x:v>шт</x:v>
      </x:c>
      <x:c r="E38" s="26" t="n">
        <x:v>170</x:v>
      </x:c>
      <x:c r="F38" s="26" t="n">
        <x:v>1</x:v>
      </x:c>
      <x:c r="G38" s="26" t="n">
        <x:v>170</x:v>
      </x:c>
      <x:c r="H38" s="26" t="n">
        <x:v>199</x:v>
      </x:c>
      <x:c r="I38" s="26" t="n">
        <x:v>20</x:v>
      </x:c>
      <x:c r="J38" s="26" t="n">
        <x:v>3</x:v>
      </x:c>
      <x:c r="K38" s="26" t="n">
        <x:v>23</x:v>
      </x:c>
      <x:c r="L38" s="23" t="str">
        <x:v>Подтверждено</x:v>
      </x:c>
      <x:c r="M38" s="23" t="str">
        <x:v>на 1 снек</x:v>
      </x:c>
    </x:row>
    <x:row r="39">
      <x:c r="A39" s="24" t="str">
        <x:v>P-035</x:v>
      </x:c>
      <x:c r="B39" s="24" t="str">
        <x:v>Протеиновый холодный чай</x:v>
      </x:c>
      <x:c r="C39" s="24" t="str">
        <x:v>Напитки</x:v>
      </x:c>
      <x:c r="D39" s="24" t="str">
        <x:v>бут.</x:v>
      </x:c>
      <x:c r="E39" s="27"/>
      <x:c r="F39" s="27" t="n">
        <x:v>1</x:v>
      </x:c>
      <x:c r="G39" s="27"/>
      <x:c r="H39" s="27" t="n">
        <x:v>80</x:v>
      </x:c>
      <x:c r="I39" s="27" t="n">
        <x:v>20</x:v>
      </x:c>
      <x:c r="J39" s="27" t="n">
        <x:v>0</x:v>
      </x:c>
      <x:c r="K39" s="27" t="n">
        <x:v>0</x:v>
      </x:c>
      <x:c r="L39" s="24" t="str">
        <x:v>Подтверждено</x:v>
      </x:c>
      <x:c r="M39" s="24" t="str">
        <x:v>500 мл / бутылка</x:v>
      </x:c>
    </x:row>
  </x:sheetData>
  <x:mergeCells>
    <x:mergeCell ref="A1:M1"/>
    <x:mergeCell ref="A2:M2"/>
  </x:mergeCells>
  <x:conditionalFormatting sqref="L5:L39">
    <x:cfRule type="containsText" dxfId="0" priority="1" operator="containsText" text="Подтверждено"/>
    <x:cfRule type="containsText" dxfId="1" priority="2" operator="containsText" text="Оценка"/>
  </x:conditionalFormatting>
  <x:dataValidations count="1">
    <x:dataValidation type="list" sqref="L5:L39">
      <x:formula1>"Подтверждено,Оценка"</x:formula1>
    </x:dataValidation>
  </x:dataValidations>
  <x:pageMargins left="0.7" right="0.7" top="0.75" bottom="0.75" header="0.3" footer="0.3"/>
  <x:legacyDrawing xmlns:r="http://schemas.openxmlformats.org/officeDocument/2006/relationships" r:id="R831c12b862074263"/>
  <x:tableParts count="1">
    <x:tablePart xmlns:r="http://schemas.openxmlformats.org/officeDocument/2006/relationships" r:id="R3f1915e4e33c48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22" hidden="0" customWidth="1"/>
    <x:col min="5" max="5" width="10" hidden="0" customWidth="1"/>
    <x:col min="6" max="6" width="13" hidden="0" customWidth="1"/>
    <x:col min="7" max="7" width="10" hidden="0" customWidth="1"/>
    <x:col min="8" max="8" width="28" hidden="0" customWidth="1"/>
    <x:col min="9" max="9" width="16" hidden="0" customWidth="1"/>
    <x:col min="10" max="10" width="15" hidden="0" customWidth="1"/>
    <x:col min="11" max="11" width="16" hidden="0" customWidth="1"/>
    <x:col min="12" max="12" width="11" hidden="0" customWidth="1"/>
    <x:col min="13" max="13" width="11" hidden="0" customWidth="1"/>
    <x:col min="14" max="14" width="13" hidden="0" customWidth="1"/>
    <x:col min="15" max="15" width="15" hidden="0" customWidth="1"/>
    <x:col min="16" max="16" width="18" hidden="0" customWidth="1"/>
  </x:cols>
  <x:sheetData>
    <x:row r="1" ht="34" customHeight="1">
      <x:c r="A1" s="3" t="str">
        <x:v>Recipes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6" t="str">
        <x:v>Каталог рецептов с ID, версиями, статусами и формульными итогами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4" ht="24" customHeight="1">
      <x:c r="A4" s="15" t="str">
        <x:v>Recipe ID</x:v>
      </x:c>
      <x:c r="B4" s="16" t="str">
        <x:v>Название</x:v>
      </x:c>
      <x:c r="C4" s="16" t="str">
        <x:v>Категория</x:v>
      </x:c>
      <x:c r="D4" s="16" t="str">
        <x:v>Подкатегория</x:v>
      </x:c>
      <x:c r="E4" s="16" t="str">
        <x:v>Версия</x:v>
      </x:c>
      <x:c r="F4" s="16" t="str">
        <x:v>Статус</x:v>
      </x:c>
      <x:c r="G4" s="16" t="str">
        <x:v>Порций</x:v>
      </x:c>
      <x:c r="H4" s="16" t="str">
        <x:v>Теги</x:v>
      </x:c>
      <x:c r="I4" s="16" t="str">
        <x:v>Цена рецепта</x:v>
      </x:c>
      <x:c r="J4" s="16" t="str">
        <x:v>Цена порции</x:v>
      </x:c>
      <x:c r="K4" s="16" t="str">
        <x:v>Ккал / рецепт</x:v>
      </x:c>
      <x:c r="L4" s="16" t="str">
        <x:v>Белки</x:v>
      </x:c>
      <x:c r="M4" s="16" t="str">
        <x:v>Жиры</x:v>
      </x:c>
      <x:c r="N4" s="16" t="str">
        <x:v>Углеводы</x:v>
      </x:c>
      <x:c r="O4" s="16" t="str">
        <x:v>Ккал / порция</x:v>
      </x:c>
      <x:c r="P4" s="17" t="str">
        <x:v>Белок / 100 дин</x:v>
      </x:c>
    </x:row>
    <x:row r="5">
      <x:c r="A5" s="22" t="str">
        <x:v>B-001</x:v>
      </x:c>
      <x:c r="B5" s="22" t="str">
        <x:v>Яичница с томатами и хлебом</x:v>
      </x:c>
      <x:c r="C5" s="22" t="str">
        <x:v>Breakfast</x:v>
      </x:c>
      <x:c r="D5" s="22" t="str">
        <x:v>Яичные блюда</x:v>
      </x:c>
      <x:c r="E5" s="22" t="str">
        <x:v>1.0</x:v>
      </x:c>
      <x:c r="F5" s="22" t="str">
        <x:v>Approved</x:v>
      </x:c>
      <x:c r="G5" s="25" t="n">
        <x:v>2</x:v>
      </x:c>
      <x:c r="H5" s="25" t="str">
        <x:v>Quick; High protein</x:v>
      </x:c>
      <x:c r="I5" s="25" t="n">
        <x:f>SUMIF('Recipe Details'!$A$5:$A$200,A5,'Recipe Details'!$G$5:$G$200)</x:f>
        <x:v>196.5</x:v>
      </x:c>
      <x:c r="J5" s="25" t="n">
        <x:f>IFERROR(I5/G5,0)</x:f>
        <x:v>98.25</x:v>
      </x:c>
      <x:c r="K5" s="25" t="n">
        <x:f>SUMIF('Recipe Details'!$A$5:$A$200,A5,'Recipe Details'!$H$5:$H$200)</x:f>
        <x:v>907.1800000000001</x:v>
      </x:c>
      <x:c r="L5" s="25" t="n">
        <x:f>SUMIF('Recipe Details'!$A$5:$A$200,A5,'Recipe Details'!$I$5:$I$200)</x:f>
        <x:v>50.59</x:v>
      </x:c>
      <x:c r="M5" s="25" t="n">
        <x:f>SUMIF('Recipe Details'!$A$5:$A$200,A5,'Recipe Details'!$J$5:$J$200)</x:f>
        <x:v>46.924</x:v>
      </x:c>
      <x:c r="N5" s="25" t="n">
        <x:f>SUMIF('Recipe Details'!$A$5:$A$200,A5,'Recipe Details'!$K$5:$K$200)</x:f>
        <x:v>69.28</x:v>
      </x:c>
      <x:c r="O5" s="25" t="n">
        <x:f>IFERROR(K5/G5,0)</x:f>
        <x:v>453.59000000000003</x:v>
      </x:c>
      <x:c r="P5" s="25" t="n">
        <x:f>IFERROR((L5/G5)/(J5/100),0)</x:f>
        <x:v>25.74554707379135</x:v>
      </x:c>
    </x:row>
    <x:row r="6">
      <x:c r="A6" s="23" t="str">
        <x:v>M-001</x:v>
      </x:c>
      <x:c r="B6" s="23" t="str">
        <x:v>Куриная запеканка</x:v>
      </x:c>
      <x:c r="C6" s="23" t="str">
        <x:v>Main</x:v>
      </x:c>
      <x:c r="D6" s="23" t="str">
        <x:v>Высокобелковые</x:v>
      </x:c>
      <x:c r="E6" s="23" t="str">
        <x:v>1.0</x:v>
      </x:c>
      <x:c r="F6" s="23" t="str">
        <x:v>Approved</x:v>
      </x:c>
      <x:c r="G6" s="26" t="n">
        <x:v>3</x:v>
      </x:c>
      <x:c r="H6" s="26" t="str">
        <x:v>Meal prep; Low fat</x:v>
      </x:c>
      <x:c r="I6" s="26" t="n">
        <x:f>SUMIF('Recipe Details'!$A$5:$A$200,A6,'Recipe Details'!$G$5:$G$200)</x:f>
        <x:v>192.2869</x:v>
      </x:c>
      <x:c r="J6" s="26" t="n">
        <x:f>IFERROR(I6/G6,0)</x:f>
        <x:v>64.09563333333334</x:v>
      </x:c>
      <x:c r="K6" s="26" t="n">
        <x:f>SUMIF('Recipe Details'!$A$5:$A$200,A6,'Recipe Details'!$H$5:$H$200)</x:f>
        <x:v>763.99</x:v>
      </x:c>
      <x:c r="L6" s="26" t="n">
        <x:f>SUMIF('Recipe Details'!$A$5:$A$200,A6,'Recipe Details'!$I$5:$I$200)</x:f>
        <x:v>137.678</x:v>
      </x:c>
      <x:c r="M6" s="26" t="n">
        <x:f>SUMIF('Recipe Details'!$A$5:$A$200,A6,'Recipe Details'!$J$5:$J$200)</x:f>
        <x:v>14.963</x:v>
      </x:c>
      <x:c r="N6" s="26" t="n">
        <x:f>SUMIF('Recipe Details'!$A$5:$A$200,A6,'Recipe Details'!$K$5:$K$200)</x:f>
        <x:v>11.577000000000002</x:v>
      </x:c>
      <x:c r="O6" s="26" t="n">
        <x:f>IFERROR(K6/G6,0)</x:f>
        <x:v>254.66333333333333</x:v>
      </x:c>
      <x:c r="P6" s="26" t="n">
        <x:f>IFERROR((L6/G6)/(J6/100),0)</x:f>
        <x:v>71.60030142459001</x:v>
      </x:c>
    </x:row>
    <x:row r="7">
      <x:c r="A7" s="23" t="str">
        <x:v>M-002</x:v>
      </x:c>
      <x:c r="B7" s="23" t="str">
        <x:v>Паста болоньезе</x:v>
      </x:c>
      <x:c r="C7" s="23" t="str">
        <x:v>Main</x:v>
      </x:c>
      <x:c r="D7" s="23" t="str">
        <x:v>Паста</x:v>
      </x:c>
      <x:c r="E7" s="23" t="str">
        <x:v>1.1</x:v>
      </x:c>
      <x:c r="F7" s="23" t="str">
        <x:v>Approved</x:v>
      </x:c>
      <x:c r="G7" s="26" t="n">
        <x:v>2</x:v>
      </x:c>
      <x:c r="H7" s="26" t="str">
        <x:v>High protein</x:v>
      </x:c>
      <x:c r="I7" s="26" t="n">
        <x:f>SUMIF('Recipe Details'!$A$5:$A$200,A7,'Recipe Details'!$G$5:$G$200)</x:f>
        <x:v>769.345</x:v>
      </x:c>
      <x:c r="J7" s="26" t="n">
        <x:f>IFERROR(I7/G7,0)</x:f>
        <x:v>384.6725</x:v>
      </x:c>
      <x:c r="K7" s="26" t="n">
        <x:f>SUMIF('Recipe Details'!$A$5:$A$200,A7,'Recipe Details'!$H$5:$H$200)</x:f>
        <x:v>1524.45</x:v>
      </x:c>
      <x:c r="L7" s="26" t="n">
        <x:f>SUMIF('Recipe Details'!$A$5:$A$200,A7,'Recipe Details'!$I$5:$I$200)</x:f>
        <x:v>91.1</x:v>
      </x:c>
      <x:c r="M7" s="26" t="n">
        <x:f>SUMIF('Recipe Details'!$A$5:$A$200,A7,'Recipe Details'!$J$5:$J$200)</x:f>
        <x:v>54.3</x:v>
      </x:c>
      <x:c r="N7" s="26" t="n">
        <x:f>SUMIF('Recipe Details'!$A$5:$A$200,A7,'Recipe Details'!$K$5:$K$200)</x:f>
        <x:v>150.95000000000002</x:v>
      </x:c>
      <x:c r="O7" s="26" t="n">
        <x:f>IFERROR(K7/G7,0)</x:f>
        <x:v>762.225</x:v>
      </x:c>
      <x:c r="P7" s="26" t="n">
        <x:f>IFERROR((L7/G7)/(J7/100),0)</x:f>
        <x:v>11.841241575626018</x:v>
      </x:c>
    </x:row>
    <x:row r="8">
      <x:c r="A8" s="23" t="str">
        <x:v>M-003</x:v>
      </x:c>
      <x:c r="B8" s="23" t="str">
        <x:v>Домашняя пицца с индейкой</x:v>
      </x:c>
      <x:c r="C8" s="23" t="str">
        <x:v>Main</x:v>
      </x:c>
      <x:c r="D8" s="23" t="str">
        <x:v>Пицца</x:v>
      </x:c>
      <x:c r="E8" s="23" t="str">
        <x:v>1.0</x:v>
      </x:c>
      <x:c r="F8" s="23" t="str">
        <x:v>Approved</x:v>
      </x:c>
      <x:c r="G8" s="26" t="n">
        <x:v>4</x:v>
      </x:c>
      <x:c r="H8" s="26" t="str">
        <x:v>Домашняя</x:v>
      </x:c>
      <x:c r="I8" s="26" t="n">
        <x:f>SUMIF('Recipe Details'!$A$5:$A$200,A8,'Recipe Details'!$G$5:$G$200)</x:f>
        <x:v>585.6800000000001</x:v>
      </x:c>
      <x:c r="J8" s="26" t="n">
        <x:f>IFERROR(I8/G8,0)</x:f>
        <x:v>146.42000000000002</x:v>
      </x:c>
      <x:c r="K8" s="26" t="n">
        <x:f>SUMIF('Recipe Details'!$A$5:$A$200,A8,'Recipe Details'!$H$5:$H$200)</x:f>
        <x:v>2356.5</x:v>
      </x:c>
      <x:c r="L8" s="26" t="n">
        <x:f>SUMIF('Recipe Details'!$A$5:$A$200,A8,'Recipe Details'!$I$5:$I$200)</x:f>
        <x:v>189.2</x:v>
      </x:c>
      <x:c r="M8" s="26" t="n">
        <x:f>SUMIF('Recipe Details'!$A$5:$A$200,A8,'Recipe Details'!$J$5:$J$200)</x:f>
        <x:v>80.125</x:v>
      </x:c>
      <x:c r="N8" s="26" t="n">
        <x:f>SUMIF('Recipe Details'!$A$5:$A$200,A8,'Recipe Details'!$K$5:$K$200)</x:f>
        <x:v>226.575</x:v>
      </x:c>
      <x:c r="O8" s="26" t="n">
        <x:f>IFERROR(K8/G8,0)</x:f>
        <x:v>589.125</x:v>
      </x:c>
      <x:c r="P8" s="26" t="n">
        <x:f>IFERROR((L8/G8)/(J8/100),0)</x:f>
        <x:v>32.30433000956153</x:v>
      </x:c>
    </x:row>
    <x:row r="9">
      <x:c r="A9" s="23" t="str">
        <x:v>M-004</x:v>
      </x:c>
      <x:c r="B9" s="23" t="str">
        <x:v>Куриные оладьи</x:v>
      </x:c>
      <x:c r="C9" s="23" t="str">
        <x:v>Main</x:v>
      </x:c>
      <x:c r="D9" s="23" t="str">
        <x:v>Высокобелковые</x:v>
      </x:c>
      <x:c r="E9" s="23" t="str">
        <x:v>1.0</x:v>
      </x:c>
      <x:c r="F9" s="23" t="str">
        <x:v>Approved</x:v>
      </x:c>
      <x:c r="G9" s="26" t="n">
        <x:v>3</x:v>
      </x:c>
      <x:c r="H9" s="26" t="str">
        <x:v>Meal prep; Low fat</x:v>
      </x:c>
      <x:c r="I9" s="26" t="n">
        <x:f>SUMIF('Recipe Details'!$A$5:$A$200,A9,'Recipe Details'!$G$5:$G$200)</x:f>
        <x:v>165.8335</x:v>
      </x:c>
      <x:c r="J9" s="26" t="n">
        <x:f>IFERROR(I9/G9,0)</x:f>
        <x:v>55.27783333333333</x:v>
      </x:c>
      <x:c r="K9" s="26" t="n">
        <x:f>SUMIF('Recipe Details'!$A$5:$A$200,A9,'Recipe Details'!$H$5:$H$200)</x:f>
        <x:v>653.25</x:v>
      </x:c>
      <x:c r="L9" s="26" t="n">
        <x:f>SUMIF('Recipe Details'!$A$5:$A$200,A9,'Recipe Details'!$I$5:$I$200)</x:f>
        <x:v>124.77</x:v>
      </x:c>
      <x:c r="M9" s="26" t="n">
        <x:f>SUMIF('Recipe Details'!$A$5:$A$200,A9,'Recipe Details'!$J$5:$J$200)</x:f>
        <x:v>10.065</x:v>
      </x:c>
      <x:c r="N9" s="26" t="n">
        <x:f>SUMIF('Recipe Details'!$A$5:$A$200,A9,'Recipe Details'!$K$5:$K$200)</x:f>
        <x:v>8.355</x:v>
      </x:c>
      <x:c r="O9" s="26" t="n">
        <x:f>IFERROR(K9/G9,0)</x:f>
        <x:v>217.75</x:v>
      </x:c>
      <x:c r="P9" s="26" t="n">
        <x:f>IFERROR((L9/G9)/(J9/100),0)</x:f>
        <x:v>75.23811533857756</x:v>
      </x:c>
    </x:row>
    <x:row r="10">
      <x:c r="A10" s="23" t="str">
        <x:v>M-005</x:v>
      </x:c>
      <x:c r="B10" s="23" t="str">
        <x:v>Паста с баклажаном и моцареллой</x:v>
      </x:c>
      <x:c r="C10" s="23" t="str">
        <x:v>Main</x:v>
      </x:c>
      <x:c r="D10" s="23" t="str">
        <x:v>Паста</x:v>
      </x:c>
      <x:c r="E10" s="23" t="str">
        <x:v>1.0</x:v>
      </x:c>
      <x:c r="F10" s="23" t="str">
        <x:v>Approved</x:v>
      </x:c>
      <x:c r="G10" s="26" t="n">
        <x:v>2</x:v>
      </x:c>
      <x:c r="H10" s="26" t="str">
        <x:v>Vegetarian</x:v>
      </x:c>
      <x:c r="I10" s="26" t="n">
        <x:f>SUMIF('Recipe Details'!$A$5:$A$200,A10,'Recipe Details'!$G$5:$G$200)</x:f>
        <x:v>473</x:v>
      </x:c>
      <x:c r="J10" s="26" t="n">
        <x:f>IFERROR(I10/G10,0)</x:f>
        <x:v>236.5</x:v>
      </x:c>
      <x:c r="K10" s="26" t="n">
        <x:f>SUMIF('Recipe Details'!$A$5:$A$200,A10,'Recipe Details'!$H$5:$H$200)</x:f>
        <x:v>1245.7</x:v>
      </x:c>
      <x:c r="L10" s="26" t="n">
        <x:f>SUMIF('Recipe Details'!$A$5:$A$200,A10,'Recipe Details'!$I$5:$I$200)</x:f>
        <x:v>59.599999999999994</x:v>
      </x:c>
      <x:c r="M10" s="26" t="n">
        <x:f>SUMIF('Recipe Details'!$A$5:$A$200,A10,'Recipe Details'!$J$5:$J$200)</x:f>
        <x:v>29.375</x:v>
      </x:c>
      <x:c r="N10" s="26" t="n">
        <x:f>SUMIF('Recipe Details'!$A$5:$A$200,A10,'Recipe Details'!$K$5:$K$200)</x:f>
        <x:v>172.27499999999998</x:v>
      </x:c>
      <x:c r="O10" s="26" t="n">
        <x:f>IFERROR(K10/G10,0)</x:f>
        <x:v>622.85</x:v>
      </x:c>
      <x:c r="P10" s="26" t="n">
        <x:f>IFERROR((L10/G10)/(J10/100),0)</x:f>
        <x:v>12.60042283298097</x:v>
      </x:c>
    </x:row>
    <x:row r="11">
      <x:c r="A11" s="23" t="str">
        <x:v>S-001</x:v>
      </x:c>
      <x:c r="B11" s="23" t="str">
        <x:v>Салат с тунцом</x:v>
      </x:c>
      <x:c r="C11" s="23" t="str">
        <x:v>Salad</x:v>
      </x:c>
      <x:c r="D11" s="23" t="str">
        <x:v>Высокобелковые</x:v>
      </x:c>
      <x:c r="E11" s="23" t="str">
        <x:v>1.0</x:v>
      </x:c>
      <x:c r="F11" s="23" t="str">
        <x:v>Approved</x:v>
      </x:c>
      <x:c r="G11" s="26" t="n">
        <x:v>2</x:v>
      </x:c>
      <x:c r="H11" s="26" t="str">
        <x:v>Low carb</x:v>
      </x:c>
      <x:c r="I11" s="26" t="n">
        <x:f>SUMIF('Recipe Details'!$A$5:$A$200,A11,'Recipe Details'!$G$5:$G$200)</x:f>
        <x:v>355.002</x:v>
      </x:c>
      <x:c r="J11" s="26" t="n">
        <x:f>IFERROR(I11/G11,0)</x:f>
        <x:v>177.501</x:v>
      </x:c>
      <x:c r="K11" s="26" t="n">
        <x:f>SUMIF('Recipe Details'!$A$5:$A$200,A11,'Recipe Details'!$H$5:$H$200)</x:f>
        <x:v>608.4</x:v>
      </x:c>
      <x:c r="L11" s="26" t="n">
        <x:f>SUMIF('Recipe Details'!$A$5:$A$200,A11,'Recipe Details'!$I$5:$I$200)</x:f>
        <x:v>81.83</x:v>
      </x:c>
      <x:c r="M11" s="26" t="n">
        <x:f>SUMIF('Recipe Details'!$A$5:$A$200,A11,'Recipe Details'!$J$5:$J$200)</x:f>
        <x:v>26.174999999999997</x:v>
      </x:c>
      <x:c r="N11" s="26" t="n">
        <x:f>SUMIF('Recipe Details'!$A$5:$A$200,A11,'Recipe Details'!$K$5:$K$200)</x:f>
        <x:v>10.805</x:v>
      </x:c>
      <x:c r="O11" s="26" t="n">
        <x:f>IFERROR(K11/G11,0)</x:f>
        <x:v>304.2</x:v>
      </x:c>
      <x:c r="P11" s="26" t="n">
        <x:f>IFERROR((L11/G11)/(J11/100),0)</x:f>
        <x:v>23.050574362961335</x:v>
      </x:c>
    </x:row>
    <x:row r="12">
      <x:c r="A12" s="23" t="str">
        <x:v>S-002</x:v>
      </x:c>
      <x:c r="B12" s="23" t="str">
        <x:v>Салат с куриным бедром</x:v>
      </x:c>
      <x:c r="C12" s="23" t="str">
        <x:v>Salad</x:v>
      </x:c>
      <x:c r="D12" s="23" t="str">
        <x:v>Высокобелковые</x:v>
      </x:c>
      <x:c r="E12" s="23" t="str">
        <x:v>1.0</x:v>
      </x:c>
      <x:c r="F12" s="23" t="str">
        <x:v>Approved</x:v>
      </x:c>
      <x:c r="G12" s="26" t="n">
        <x:v>2</x:v>
      </x:c>
      <x:c r="H12" s="26" t="str">
        <x:v>Low carb</x:v>
      </x:c>
      <x:c r="I12" s="26" t="n">
        <x:f>SUMIF('Recipe Details'!$A$5:$A$200,A12,'Recipe Details'!$G$5:$G$200)</x:f>
        <x:v>341.932</x:v>
      </x:c>
      <x:c r="J12" s="26" t="n">
        <x:f>IFERROR(I12/G12,0)</x:f>
        <x:v>170.966</x:v>
      </x:c>
      <x:c r="K12" s="26" t="n">
        <x:f>SUMIF('Recipe Details'!$A$5:$A$200,A12,'Recipe Details'!$H$5:$H$200)</x:f>
        <x:v>917.8</x:v>
      </x:c>
      <x:c r="L12" s="26" t="n">
        <x:f>SUMIF('Recipe Details'!$A$5:$A$200,A12,'Recipe Details'!$I$5:$I$200)</x:f>
        <x:v>97.22999999999999</x:v>
      </x:c>
      <x:c r="M12" s="26" t="n">
        <x:f>SUMIF('Recipe Details'!$A$5:$A$200,A12,'Recipe Details'!$J$5:$J$200)</x:f>
        <x:v>51.575</x:v>
      </x:c>
      <x:c r="N12" s="26" t="n">
        <x:f>SUMIF('Recipe Details'!$A$5:$A$200,A12,'Recipe Details'!$K$5:$K$200)</x:f>
        <x:v>10.805</x:v>
      </x:c>
      <x:c r="O12" s="26" t="n">
        <x:f>IFERROR(K12/G12,0)</x:f>
        <x:v>458.9</x:v>
      </x:c>
      <x:c r="P12" s="26" t="n">
        <x:f>IFERROR((L12/G12)/(J12/100),0)</x:f>
        <x:v>28.435478399213874</x:v>
      </x:c>
    </x:row>
    <x:row r="13">
      <x:c r="A13" s="23" t="str">
        <x:v>S-003</x:v>
      </x:c>
      <x:c r="B13" s="23" t="str">
        <x:v>Салат с желудками</x:v>
      </x:c>
      <x:c r="C13" s="23" t="str">
        <x:v>Salad</x:v>
      </x:c>
      <x:c r="D13" s="23" t="str">
        <x:v>Высокобелковые</x:v>
      </x:c>
      <x:c r="E13" s="23" t="str">
        <x:v>1.0</x:v>
      </x:c>
      <x:c r="F13" s="23" t="str">
        <x:v>Testing</x:v>
      </x:c>
      <x:c r="G13" s="26" t="n">
        <x:v>2</x:v>
      </x:c>
      <x:c r="H13" s="26" t="str">
        <x:v>Budget; Low carb</x:v>
      </x:c>
      <x:c r="I13" s="26" t="n">
        <x:f>SUMIF('Recipe Details'!$A$5:$A$200,A13,'Recipe Details'!$G$5:$G$200)</x:f>
        <x:v>295.552</x:v>
      </x:c>
      <x:c r="J13" s="26" t="n">
        <x:f>IFERROR(I13/G13,0)</x:f>
        <x:v>147.776</x:v>
      </x:c>
      <x:c r="K13" s="26" t="n">
        <x:f>SUMIF('Recipe Details'!$A$5:$A$200,A13,'Recipe Details'!$H$5:$H$200)</x:f>
        <x:v>657.8</x:v>
      </x:c>
      <x:c r="L13" s="26" t="n">
        <x:f>SUMIF('Recipe Details'!$A$5:$A$200,A13,'Recipe Details'!$I$5:$I$200)</x:f>
        <x:v>85.22999999999999</x:v>
      </x:c>
      <x:c r="M13" s="26" t="n">
        <x:f>SUMIF('Recipe Details'!$A$5:$A$200,A13,'Recipe Details'!$J$5:$J$200)</x:f>
        <x:v>29.575</x:v>
      </x:c>
      <x:c r="N13" s="26" t="n">
        <x:f>SUMIF('Recipe Details'!$A$5:$A$200,A13,'Recipe Details'!$K$5:$K$200)</x:f>
        <x:v>12.305</x:v>
      </x:c>
      <x:c r="O13" s="26" t="n">
        <x:f>IFERROR(K13/G13,0)</x:f>
        <x:v>328.9</x:v>
      </x:c>
      <x:c r="P13" s="26" t="n">
        <x:f>IFERROR((L13/G13)/(J13/100),0)</x:f>
        <x:v>28.83756496318752</x:v>
      </x:c>
    </x:row>
    <x:row r="14">
      <x:c r="A14" s="23" t="str">
        <x:v>W-001</x:v>
      </x:c>
      <x:c r="B14" s="23" t="str">
        <x:v>Врап с тунцом</x:v>
      </x:c>
      <x:c r="C14" s="23" t="str">
        <x:v>Wrap</x:v>
      </x:c>
      <x:c r="D14" s="23" t="str">
        <x:v>Протеиновая тортилья</x:v>
      </x:c>
      <x:c r="E14" s="23" t="str">
        <x:v>1.0</x:v>
      </x:c>
      <x:c r="F14" s="23" t="str">
        <x:v>Approved</x:v>
      </x:c>
      <x:c r="G14" s="26" t="n">
        <x:v>2</x:v>
      </x:c>
      <x:c r="H14" s="26" t="str">
        <x:v>Quick; High protein</x:v>
      </x:c>
      <x:c r="I14" s="26" t="n">
        <x:f>SUMIF('Recipe Details'!$A$5:$A$200,A14,'Recipe Details'!$G$5:$G$200)</x:f>
        <x:v>367.5</x:v>
      </x:c>
      <x:c r="J14" s="26" t="n">
        <x:f>IFERROR(I14/G14,0)</x:f>
        <x:v>183.75</x:v>
      </x:c>
      <x:c r="K14" s="26" t="n">
        <x:f>SUMIF('Recipe Details'!$A$5:$A$200,A14,'Recipe Details'!$H$5:$H$200)</x:f>
        <x:v>895.5</x:v>
      </x:c>
      <x:c r="L14" s="26" t="n">
        <x:f>SUMIF('Recipe Details'!$A$5:$A$200,A14,'Recipe Details'!$I$5:$I$200)</x:f>
        <x:v>98.2</x:v>
      </x:c>
      <x:c r="M14" s="26" t="n">
        <x:f>SUMIF('Recipe Details'!$A$5:$A$200,A14,'Recipe Details'!$J$5:$J$200)</x:f>
        <x:v>23.589999999999996</x:v>
      </x:c>
      <x:c r="N14" s="26" t="n">
        <x:f>SUMIF('Recipe Details'!$A$5:$A$200,A14,'Recipe Details'!$K$5:$K$200)</x:f>
        <x:v>70.95</x:v>
      </x:c>
      <x:c r="O14" s="26" t="n">
        <x:f>IFERROR(K14/G14,0)</x:f>
        <x:v>447.75</x:v>
      </x:c>
      <x:c r="P14" s="26" t="n">
        <x:f>IFERROR((L14/G14)/(J14/100),0)</x:f>
        <x:v>26.721088435374153</x:v>
      </x:c>
    </x:row>
    <x:row r="15">
      <x:c r="A15" s="23" t="str">
        <x:v>W-002</x:v>
      </x:c>
      <x:c r="B15" s="23" t="str">
        <x:v>Врап с креветками</x:v>
      </x:c>
      <x:c r="C15" s="23" t="str">
        <x:v>Wrap</x:v>
      </x:c>
      <x:c r="D15" s="23" t="str">
        <x:v>Протеиновая тортилья</x:v>
      </x:c>
      <x:c r="E15" s="23" t="str">
        <x:v>1.0</x:v>
      </x:c>
      <x:c r="F15" s="23" t="str">
        <x:v>Approved</x:v>
      </x:c>
      <x:c r="G15" s="26" t="n">
        <x:v>2</x:v>
      </x:c>
      <x:c r="H15" s="26" t="str">
        <x:v>Premium; High protein</x:v>
      </x:c>
      <x:c r="I15" s="26" t="n">
        <x:f>SUMIF('Recipe Details'!$A$5:$A$200,A15,'Recipe Details'!$G$5:$G$200)</x:f>
        <x:v>1022.5835</x:v>
      </x:c>
      <x:c r="J15" s="26" t="n">
        <x:f>IFERROR(I15/G15,0)</x:f>
        <x:v>511.29175</x:v>
      </x:c>
      <x:c r="K15" s="26" t="n">
        <x:f>SUMIF('Recipe Details'!$A$5:$A$200,A15,'Recipe Details'!$H$5:$H$200)</x:f>
        <x:v>977.75</x:v>
      </x:c>
      <x:c r="L15" s="26" t="n">
        <x:f>SUMIF('Recipe Details'!$A$5:$A$200,A15,'Recipe Details'!$I$5:$I$200)</x:f>
        <x:v>136.92000000000004</x:v>
      </x:c>
      <x:c r="M15" s="26" t="n">
        <x:f>SUMIF('Recipe Details'!$A$5:$A$200,A15,'Recipe Details'!$J$5:$J$200)</x:f>
        <x:v>14.964999999999998</x:v>
      </x:c>
      <x:c r="N15" s="26" t="n">
        <x:f>SUMIF('Recipe Details'!$A$5:$A$200,A15,'Recipe Details'!$K$5:$K$200)</x:f>
        <x:v>77.755</x:v>
      </x:c>
      <x:c r="O15" s="26" t="n">
        <x:f>IFERROR(K15/G15,0)</x:f>
        <x:v>488.875</x:v>
      </x:c>
      <x:c r="P15" s="26" t="n">
        <x:f>IFERROR((L15/G15)/(J15/100),0)</x:f>
        <x:v>13.389615615741898</x:v>
      </x:c>
    </x:row>
    <x:row r="16">
      <x:c r="A16" s="23" t="str">
        <x:v>W-003</x:v>
      </x:c>
      <x:c r="B16" s="23" t="str">
        <x:v>Врап с куриным бедром</x:v>
      </x:c>
      <x:c r="C16" s="23" t="str">
        <x:v>Wrap</x:v>
      </x:c>
      <x:c r="D16" s="23" t="str">
        <x:v>Цельнозерновая тортилья</x:v>
      </x:c>
      <x:c r="E16" s="23" t="str">
        <x:v>1.0</x:v>
      </x:c>
      <x:c r="F16" s="23" t="str">
        <x:v>Approved</x:v>
      </x:c>
      <x:c r="G16" s="26" t="n">
        <x:v>2</x:v>
      </x:c>
      <x:c r="H16" s="26" t="str">
        <x:v>High protein</x:v>
      </x:c>
      <x:c r="I16" s="26" t="n">
        <x:f>SUMIF('Recipe Details'!$A$5:$A$200,A16,'Recipe Details'!$G$5:$G$200)</x:f>
        <x:v>375.805</x:v>
      </x:c>
      <x:c r="J16" s="26" t="n">
        <x:f>IFERROR(I16/G16,0)</x:f>
        <x:v>187.9025</x:v>
      </x:c>
      <x:c r="K16" s="26" t="n">
        <x:f>SUMIF('Recipe Details'!$A$5:$A$200,A16,'Recipe Details'!$H$5:$H$200)</x:f>
        <x:v>1353.3</x:v>
      </x:c>
      <x:c r="L16" s="26" t="n">
        <x:f>SUMIF('Recipe Details'!$A$5:$A$200,A16,'Recipe Details'!$I$5:$I$200)</x:f>
        <x:v>117.3</x:v>
      </x:c>
      <x:c r="M16" s="26" t="n">
        <x:f>SUMIF('Recipe Details'!$A$5:$A$200,A16,'Recipe Details'!$J$5:$J$200)</x:f>
        <x:v>46.5</x:v>
      </x:c>
      <x:c r="N16" s="26" t="n">
        <x:f>SUMIF('Recipe Details'!$A$5:$A$200,A16,'Recipe Details'!$K$5:$K$200)</x:f>
        <x:v>112.675</x:v>
      </x:c>
      <x:c r="O16" s="26" t="n">
        <x:f>IFERROR(K16/G16,0)</x:f>
        <x:v>676.65</x:v>
      </x:c>
      <x:c r="P16" s="26" t="n">
        <x:f>IFERROR((L16/G16)/(J16/100),0)</x:f>
        <x:v>31.21299610170168</x:v>
      </x:c>
    </x:row>
    <x:row r="17">
      <x:c r="A17" s="23" t="str">
        <x:v>D-001</x:v>
      </x:c>
      <x:c r="B17" s="23" t="str">
        <x:v>Крем с ежевикой</x:v>
      </x:c>
      <x:c r="C17" s="23" t="str">
        <x:v>Dessert</x:v>
      </x:c>
      <x:c r="D17" s="23" t="str">
        <x:v>Белковый крем</x:v>
      </x:c>
      <x:c r="E17" s="23" t="str">
        <x:v>1.1</x:v>
      </x:c>
      <x:c r="F17" s="23" t="str">
        <x:v>Approved</x:v>
      </x:c>
      <x:c r="G17" s="26" t="n">
        <x:v>2</x:v>
      </x:c>
      <x:c r="H17" s="26" t="str">
        <x:v>Dessert; Berries</x:v>
      </x:c>
      <x:c r="I17" s="26" t="n">
        <x:f>SUMIF('Recipe Details'!$A$5:$A$200,A17,'Recipe Details'!$G$5:$G$200)</x:f>
        <x:v>434.12549999999993</x:v>
      </x:c>
      <x:c r="J17" s="26" t="n">
        <x:f>IFERROR(I17/G17,0)</x:f>
        <x:v>217.06274999999997</x:v>
      </x:c>
      <x:c r="K17" s="26" t="n">
        <x:f>SUMIF('Recipe Details'!$A$5:$A$200,A17,'Recipe Details'!$H$5:$H$200)</x:f>
        <x:v>568.2</x:v>
      </x:c>
      <x:c r="L17" s="26" t="n">
        <x:f>SUMIF('Recipe Details'!$A$5:$A$200,A17,'Recipe Details'!$I$5:$I$200)</x:f>
        <x:v>21.2</x:v>
      </x:c>
      <x:c r="M17" s="26" t="n">
        <x:f>SUMIF('Recipe Details'!$A$5:$A$200,A17,'Recipe Details'!$J$5:$J$200)</x:f>
        <x:v>28</x:v>
      </x:c>
      <x:c r="N17" s="26" t="n">
        <x:f>SUMIF('Recipe Details'!$A$5:$A$200,A17,'Recipe Details'!$K$5:$K$200)</x:f>
        <x:v>59.3</x:v>
      </x:c>
      <x:c r="O17" s="26" t="n">
        <x:f>IFERROR(K17/G17,0)</x:f>
        <x:v>284.1</x:v>
      </x:c>
      <x:c r="P17" s="26" t="n">
        <x:f>IFERROR((L17/G17)/(J17/100),0)</x:f>
        <x:v>4.883380497114314</x:v>
      </x:c>
    </x:row>
    <x:row r="18">
      <x:c r="A18" s="23" t="str">
        <x:v>D-002</x:v>
      </x:c>
      <x:c r="B18" s="23" t="str">
        <x:v>Крем с голубикой</x:v>
      </x:c>
      <x:c r="C18" s="23" t="str">
        <x:v>Dessert</x:v>
      </x:c>
      <x:c r="D18" s="23" t="str">
        <x:v>Белковый крем</x:v>
      </x:c>
      <x:c r="E18" s="23" t="str">
        <x:v>1.1</x:v>
      </x:c>
      <x:c r="F18" s="23" t="str">
        <x:v>Approved</x:v>
      </x:c>
      <x:c r="G18" s="26" t="n">
        <x:v>2</x:v>
      </x:c>
      <x:c r="H18" s="26" t="str">
        <x:v>Dessert; Berries</x:v>
      </x:c>
      <x:c r="I18" s="26" t="n">
        <x:f>SUMIF('Recipe Details'!$A$5:$A$200,A18,'Recipe Details'!$G$5:$G$200)</x:f>
        <x:v>225.40550000000002</x:v>
      </x:c>
      <x:c r="J18" s="26" t="n">
        <x:f>IFERROR(I18/G18,0)</x:f>
        <x:v>112.70275000000001</x:v>
      </x:c>
      <x:c r="K18" s="26" t="n">
        <x:f>SUMIF('Recipe Details'!$A$5:$A$200,A18,'Recipe Details'!$H$5:$H$200)</x:f>
        <x:v>578.1</x:v>
      </x:c>
      <x:c r="L18" s="26" t="n">
        <x:f>SUMIF('Recipe Details'!$A$5:$A$200,A18,'Recipe Details'!$I$5:$I$200)</x:f>
        <x:v>30.85</x:v>
      </x:c>
      <x:c r="M18" s="26" t="n">
        <x:f>SUMIF('Recipe Details'!$A$5:$A$200,A18,'Recipe Details'!$J$5:$J$200)</x:f>
        <x:v>26.41</x:v>
      </x:c>
      <x:c r="N18" s="26" t="n">
        <x:f>SUMIF('Recipe Details'!$A$5:$A$200,A18,'Recipe Details'!$K$5:$K$200)</x:f>
        <x:v>55.9</x:v>
      </x:c>
      <x:c r="O18" s="26" t="n">
        <x:f>IFERROR(K18/G18,0)</x:f>
        <x:v>289.05</x:v>
      </x:c>
      <x:c r="P18" s="26" t="n">
        <x:f>IFERROR((L18/G18)/(J18/100),0)</x:f>
        <x:v>13.686445095616566</x:v>
      </x:c>
    </x:row>
    <x:row r="19">
      <x:c r="A19" s="23" t="str">
        <x:v>G-001</x:v>
      </x:c>
      <x:c r="B19" s="23" t="str">
        <x:v>Киноа с томатами</x:v>
      </x:c>
      <x:c r="C19" s="23" t="str">
        <x:v>Garnish</x:v>
      </x:c>
      <x:c r="D19" s="23" t="str">
        <x:v>Крупы</x:v>
      </x:c>
      <x:c r="E19" s="23" t="str">
        <x:v>1.0</x:v>
      </x:c>
      <x:c r="F19" s="23" t="str">
        <x:v>Approved</x:v>
      </x:c>
      <x:c r="G19" s="26" t="n">
        <x:v>2</x:v>
      </x:c>
      <x:c r="H19" s="26" t="str">
        <x:v>Vegetarian</x:v>
      </x:c>
      <x:c r="I19" s="26" t="n">
        <x:f>SUMIF('Recipe Details'!$A$5:$A$200,A19,'Recipe Details'!$G$5:$G$200)</x:f>
        <x:v>196.139</x:v>
      </x:c>
      <x:c r="J19" s="26" t="n">
        <x:f>IFERROR(I19/G19,0)</x:f>
        <x:v>98.0695</x:v>
      </x:c>
      <x:c r="K19" s="26" t="n">
        <x:f>SUMIF('Recipe Details'!$A$5:$A$200,A19,'Recipe Details'!$H$5:$H$200)</x:f>
        <x:v>433</x:v>
      </x:c>
      <x:c r="L19" s="26" t="n">
        <x:f>SUMIF('Recipe Details'!$A$5:$A$200,A19,'Recipe Details'!$I$5:$I$200)</x:f>
        <x:v>15.600000000000001</x:v>
      </x:c>
      <x:c r="M19" s="26" t="n">
        <x:f>SUMIF('Recipe Details'!$A$5:$A$200,A19,'Recipe Details'!$J$5:$J$200)</x:f>
        <x:v>11.08</x:v>
      </x:c>
      <x:c r="N19" s="26" t="n">
        <x:f>SUMIF('Recipe Details'!$A$5:$A$200,A19,'Recipe Details'!$K$5:$K$200)</x:f>
        <x:v>69.89999999999999</x:v>
      </x:c>
      <x:c r="O19" s="26" t="n">
        <x:f>IFERROR(K19/G19,0)</x:f>
        <x:v>216.5</x:v>
      </x:c>
      <x:c r="P19" s="26" t="n">
        <x:f>IFERROR((L19/G19)/(J19/100),0)</x:f>
        <x:v>7.9535431505208045</x:v>
      </x:c>
    </x:row>
    <x:row r="20">
      <x:c r="A20" s="23" t="str">
        <x:v>SN-001</x:v>
      </x:c>
      <x:c r="B20" s="23" t="str">
        <x:v>Фруктово-протеиновый снек</x:v>
      </x:c>
      <x:c r="C20" s="23" t="str">
        <x:v>Snack</x:v>
      </x:c>
      <x:c r="D20" s="23" t="str">
        <x:v>Готовый продукт</x:v>
      </x:c>
      <x:c r="E20" s="23" t="str">
        <x:v>1.0</x:v>
      </x:c>
      <x:c r="F20" s="23" t="str">
        <x:v>Approved</x:v>
      </x:c>
      <x:c r="G20" s="26" t="n">
        <x:v>1</x:v>
      </x:c>
      <x:c r="H20" s="26" t="str">
        <x:v>Quick</x:v>
      </x:c>
      <x:c r="I20" s="26" t="n">
        <x:f>SUMIF('Recipe Details'!$A$5:$A$200,A20,'Recipe Details'!$G$5:$G$200)</x:f>
        <x:v>170</x:v>
      </x:c>
      <x:c r="J20" s="26" t="n">
        <x:f>IFERROR(I20/G20,0)</x:f>
        <x:v>170</x:v>
      </x:c>
      <x:c r="K20" s="26" t="n">
        <x:f>SUMIF('Recipe Details'!$A$5:$A$200,A20,'Recipe Details'!$H$5:$H$200)</x:f>
        <x:v>199</x:v>
      </x:c>
      <x:c r="L20" s="26" t="n">
        <x:f>SUMIF('Recipe Details'!$A$5:$A$200,A20,'Recipe Details'!$I$5:$I$200)</x:f>
        <x:v>20</x:v>
      </x:c>
      <x:c r="M20" s="26" t="n">
        <x:f>SUMIF('Recipe Details'!$A$5:$A$200,A20,'Recipe Details'!$J$5:$J$200)</x:f>
        <x:v>3</x:v>
      </x:c>
      <x:c r="N20" s="26" t="n">
        <x:f>SUMIF('Recipe Details'!$A$5:$A$200,A20,'Recipe Details'!$K$5:$K$200)</x:f>
        <x:v>23</x:v>
      </x:c>
      <x:c r="O20" s="26" t="n">
        <x:f>IFERROR(K20/G20,0)</x:f>
        <x:v>199</x:v>
      </x:c>
      <x:c r="P20" s="26" t="n">
        <x:f>IFERROR((L20/G20)/(J20/100),0)</x:f>
        <x:v>11.764705882352942</x:v>
      </x:c>
    </x:row>
    <x:row r="21">
      <x:c r="A21" s="24" t="str">
        <x:v>DR-001</x:v>
      </x:c>
      <x:c r="B21" s="24" t="str">
        <x:v>Протеиновый холодный чай</x:v>
      </x:c>
      <x:c r="C21" s="24" t="str">
        <x:v>Drink</x:v>
      </x:c>
      <x:c r="D21" s="24" t="str">
        <x:v>Готовый продукт</x:v>
      </x:c>
      <x:c r="E21" s="24" t="str">
        <x:v>1.0</x:v>
      </x:c>
      <x:c r="F21" s="24" t="str">
        <x:v>Approved</x:v>
      </x:c>
      <x:c r="G21" s="27" t="n">
        <x:v>1</x:v>
      </x:c>
      <x:c r="H21" s="27" t="str">
        <x:v>Quick</x:v>
      </x:c>
      <x:c r="I21" s="27" t="n">
        <x:f>SUMIF('Recipe Details'!$A$5:$A$200,A21,'Recipe Details'!$G$5:$G$200)</x:f>
        <x:v>0</x:v>
      </x:c>
      <x:c r="J21" s="27" t="n">
        <x:f>IFERROR(I21/G21,0)</x:f>
        <x:v>0</x:v>
      </x:c>
      <x:c r="K21" s="27" t="n">
        <x:f>SUMIF('Recipe Details'!$A$5:$A$200,A21,'Recipe Details'!$H$5:$H$200)</x:f>
        <x:v>80</x:v>
      </x:c>
      <x:c r="L21" s="27" t="n">
        <x:f>SUMIF('Recipe Details'!$A$5:$A$200,A21,'Recipe Details'!$I$5:$I$200)</x:f>
        <x:v>20</x:v>
      </x:c>
      <x:c r="M21" s="27" t="n">
        <x:f>SUMIF('Recipe Details'!$A$5:$A$200,A21,'Recipe Details'!$J$5:$J$200)</x:f>
        <x:v>0</x:v>
      </x:c>
      <x:c r="N21" s="27" t="n">
        <x:f>SUMIF('Recipe Details'!$A$5:$A$200,A21,'Recipe Details'!$K$5:$K$200)</x:f>
        <x:v>0</x:v>
      </x:c>
      <x:c r="O21" s="27" t="n">
        <x:f>IFERROR(K21/G21,0)</x:f>
        <x:v>80</x:v>
      </x:c>
      <x:c r="P21" s="27" t="n">
        <x:f>IFERROR((L21/G21)/(J21/100),0)</x:f>
        <x:v>0</x:v>
      </x:c>
    </x:row>
  </x:sheetData>
  <x:mergeCells>
    <x:mergeCell ref="A1:P1"/>
    <x:mergeCell ref="A2:P2"/>
  </x:mergeCells>
  <x:conditionalFormatting sqref="F5:F21">
    <x:cfRule type="containsText" dxfId="2" priority="1" operator="containsText" text="Approved"/>
    <x:cfRule type="containsText" dxfId="3" priority="2" operator="containsText" text="Testing"/>
    <x:cfRule type="containsText" dxfId="4" priority="3" operator="containsText" text="Draft"/>
    <x:cfRule type="containsText" dxfId="5" priority="4" operator="containsText" text="Archived"/>
  </x:conditionalFormatting>
  <x:dataValidations count="1">
    <x:dataValidation type="list" sqref="F5:F21">
      <x:formula1>"Draft,Testing,Approved,Archived"</x:formula1>
    </x:dataValidation>
  </x:dataValidations>
  <x:pageMargins left="0.7" right="0.7" top="0.75" bottom="0.75" header="0.3" footer="0.3"/>
  <x:legacyDrawing xmlns:r="http://schemas.openxmlformats.org/officeDocument/2006/relationships" r:id="R125d7bc12ca9495e"/>
  <x:tableParts count="1">
    <x:tablePart xmlns:r="http://schemas.openxmlformats.org/officeDocument/2006/relationships" r:id="R26bc79d8c3a744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13" hidden="0" customWidth="1"/>
    <x:col min="5" max="5" width="10" hidden="0" customWidth="1"/>
    <x:col min="6" max="6" width="28" hidden="0" customWidth="1"/>
    <x:col min="7" max="7" width="16" hidden="0" customWidth="1"/>
    <x:col min="8" max="8" width="11" hidden="0" customWidth="1"/>
    <x:col min="9" max="9" width="11" hidden="0" customWidth="1"/>
    <x:col min="10" max="10" width="11" hidden="0" customWidth="1"/>
    <x:col min="11" max="11" width="13" hidden="0" customWidth="1"/>
  </x:cols>
  <x:sheetData>
    <x:row r="1" ht="34" customHeight="1">
      <x:c r="A1" s="3" t="str">
        <x:v>Recipe Details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6" t="str">
        <x:v>Состав рецептов; стоимость и КБЖУ рассчитываются из Products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24" customHeight="1">
      <x:c r="A4" s="15" t="str">
        <x:v>Recipe ID</x:v>
      </x:c>
      <x:c r="B4" s="16" t="str">
        <x:v>Product ID</x:v>
      </x:c>
      <x:c r="C4" s="16" t="str">
        <x:v>Ингредиент</x:v>
      </x:c>
      <x:c r="D4" s="16" t="str">
        <x:v>Количество</x:v>
      </x:c>
      <x:c r="E4" s="16" t="str">
        <x:v>Ед.</x:v>
      </x:c>
      <x:c r="F4" s="16" t="str">
        <x:v>Описание порции</x:v>
      </x:c>
      <x:c r="G4" s="16" t="str">
        <x:v>Стоимость, дин</x:v>
      </x:c>
      <x:c r="H4" s="16" t="str">
        <x:v>Ккал</x:v>
      </x:c>
      <x:c r="I4" s="16" t="str">
        <x:v>Белки, г</x:v>
      </x:c>
      <x:c r="J4" s="16" t="str">
        <x:v>Жиры, г</x:v>
      </x:c>
      <x:c r="K4" s="17" t="str">
        <x:v>Углеводы, г</x:v>
      </x:c>
    </x:row>
    <x:row r="5">
      <x:c r="A5" s="22" t="str">
        <x:v>B-001</x:v>
      </x:c>
      <x:c r="B5" s="22" t="str">
        <x:v>P-001</x:v>
      </x:c>
      <x:c r="C5" s="22" t="str">
        <x:v>Яйцо</x:v>
      </x:c>
      <x:c r="D5" s="25" t="n">
        <x:v>6</x:v>
      </x:c>
      <x:c r="E5" s="25" t="str">
        <x:v>шт</x:v>
      </x:c>
      <x:c r="F5" s="25" t="str">
        <x:v>6 шт</x:v>
      </x:c>
      <x:c r="G5" s="25" t="n">
        <x:f>IFERROR(D5*'Products'!G5/1,0)</x:f>
        <x:v>120</x:v>
      </x:c>
      <x:c r="H5" s="25" t="n">
        <x:f>D5*'Products'!H5/1</x:f>
        <x:v>432</x:v>
      </x:c>
      <x:c r="I5" s="25" t="n">
        <x:f>D5*'Products'!I5/1</x:f>
        <x:v>37.8</x:v>
      </x:c>
      <x:c r="J5" s="25" t="n">
        <x:f>D5*'Products'!J5/1</x:f>
        <x:v>28.799999999999997</x:v>
      </x:c>
      <x:c r="K5" s="25" t="n">
        <x:f>D5*'Products'!K5/1</x:f>
        <x:v>2.4000000000000004</x:v>
      </x:c>
    </x:row>
    <x:row r="6">
      <x:c r="A6" s="23" t="str">
        <x:v>B-001</x:v>
      </x:c>
      <x:c r="B6" s="23" t="str">
        <x:v>P-020</x:v>
      </x:c>
      <x:c r="C6" s="23" t="str">
        <x:v>Помидор</x:v>
      </x:c>
      <x:c r="D6" s="26" t="n">
        <x:v>300</x:v>
      </x:c>
      <x:c r="E6" s="26" t="str">
        <x:v>г</x:v>
      </x:c>
      <x:c r="F6" s="26" t="str">
        <x:v>300 г</x:v>
      </x:c>
      <x:c r="G6" s="26" t="n">
        <x:f>IFERROR(D6*'Products'!G24/100,0)</x:f>
        <x:v>60</x:v>
      </x:c>
      <x:c r="H6" s="26" t="n">
        <x:f>D6*'Products'!H24/100</x:f>
        <x:v>54</x:v>
      </x:c>
      <x:c r="I6" s="26" t="n">
        <x:f>D6*'Products'!I24/100</x:f>
        <x:v>2.7</x:v>
      </x:c>
      <x:c r="J6" s="26" t="n">
        <x:f>D6*'Products'!J24/100</x:f>
        <x:v>0.6</x:v>
      </x:c>
      <x:c r="K6" s="26" t="n">
        <x:f>D6*'Products'!K24/100</x:f>
        <x:v>11.7</x:v>
      </x:c>
    </x:row>
    <x:row r="7">
      <x:c r="A7" s="23" t="str">
        <x:v>B-001</x:v>
      </x:c>
      <x:c r="B7" s="23" t="str">
        <x:v>P-028</x:v>
      </x:c>
      <x:c r="C7" s="23" t="str">
        <x:v>Растительное масло</x:v>
      </x:c>
      <x:c r="D7" s="26" t="n">
        <x:v>15</x:v>
      </x:c>
      <x:c r="E7" s="26" t="str">
        <x:v>мл</x:v>
      </x:c>
      <x:c r="F7" s="26" t="str">
        <x:v>1 ст.л.</x:v>
      </x:c>
      <x:c r="G7" s="26" t="n">
        <x:f>IFERROR(D7*'Products'!G32/100,0)</x:f>
        <x:v>0</x:v>
      </x:c>
      <x:c r="H7" s="26" t="n">
        <x:f>D7*'Products'!H32/100</x:f>
        <x:v>132.6</x:v>
      </x:c>
      <x:c r="I7" s="26" t="n">
        <x:f>D7*'Products'!I32/100</x:f>
        <x:v>0</x:v>
      </x:c>
      <x:c r="J7" s="26" t="n">
        <x:f>D7*'Products'!J32/100</x:f>
        <x:v>15</x:v>
      </x:c>
      <x:c r="K7" s="26" t="n">
        <x:f>D7*'Products'!K32/100</x:f>
        <x:v>0</x:v>
      </x:c>
    </x:row>
    <x:row r="8">
      <x:c r="A8" s="23" t="str">
        <x:v>B-001</x:v>
      </x:c>
      <x:c r="B8" s="23" t="str">
        <x:v>P-032</x:v>
      </x:c>
      <x:c r="C8" s="23" t="str">
        <x:v>Укроп / петрушка</x:v>
      </x:c>
      <x:c r="D8" s="26" t="n">
        <x:v>3</x:v>
      </x:c>
      <x:c r="E8" s="26" t="str">
        <x:v>г</x:v>
      </x:c>
      <x:c r="F8" s="26" t="str">
        <x:v>3 г</x:v>
      </x:c>
      <x:c r="G8" s="26" t="n">
        <x:f>IFERROR(D8*'Products'!G36/100,0)</x:f>
        <x:v>16.5</x:v>
      </x:c>
      <x:c r="H8" s="26" t="n">
        <x:f>D8*'Products'!H36/100</x:f>
        <x:v>1.08</x:v>
      </x:c>
      <x:c r="I8" s="26" t="n">
        <x:f>D8*'Products'!I36/100</x:f>
        <x:v>0.09</x:v>
      </x:c>
      <x:c r="J8" s="26" t="n">
        <x:f>D8*'Products'!J36/100</x:f>
        <x:v>0.024000000000000004</x:v>
      </x:c>
      <x:c r="K8" s="26" t="n">
        <x:f>D8*'Products'!K36/100</x:f>
        <x:v>0.18</x:v>
      </x:c>
    </x:row>
    <x:row r="9">
      <x:c r="A9" s="23" t="str">
        <x:v>B-001</x:v>
      </x:c>
      <x:c r="B9" s="23" t="str">
        <x:v>P-033</x:v>
      </x:c>
      <x:c r="C9" s="23" t="str">
        <x:v>Бездрожжевой хлеб Lidl</x:v>
      </x:c>
      <x:c r="D9" s="26" t="n">
        <x:v>125</x:v>
      </x:c>
      <x:c r="E9" s="26" t="str">
        <x:v>г</x:v>
      </x:c>
      <x:c r="F9" s="26" t="str">
        <x:v>5 ломтиков ≈125 г</x:v>
      </x:c>
      <x:c r="G9" s="26" t="n">
        <x:f>IFERROR(D9*'Products'!G37/100,0)</x:f>
        <x:v>0</x:v>
      </x:c>
      <x:c r="H9" s="26" t="n">
        <x:f>D9*'Products'!H37/100</x:f>
        <x:v>287.5</x:v>
      </x:c>
      <x:c r="I9" s="26" t="n">
        <x:f>D9*'Products'!I37/100</x:f>
        <x:v>10</x:v>
      </x:c>
      <x:c r="J9" s="26" t="n">
        <x:f>D9*'Products'!J37/100</x:f>
        <x:v>2.5</x:v>
      </x:c>
      <x:c r="K9" s="26" t="n">
        <x:f>D9*'Products'!K37/100</x:f>
        <x:v>55</x:v>
      </x:c>
    </x:row>
    <x:row r="10">
      <x:c r="A10" s="23" t="str">
        <x:v>M-001</x:v>
      </x:c>
      <x:c r="B10" s="23" t="str">
        <x:v>P-003</x:v>
      </x:c>
      <x:c r="C10" s="23" t="str">
        <x:v>Творог 0,2% (новый)</x:v>
      </x:c>
      <x:c r="D10" s="26" t="n">
        <x:v>200</x:v>
      </x:c>
      <x:c r="E10" s="26" t="str">
        <x:v>г</x:v>
      </x:c>
      <x:c r="F10" s="26" t="str">
        <x:v>200 г</x:v>
      </x:c>
      <x:c r="G10" s="26" t="n">
        <x:f>IFERROR(D10*'Products'!G7/100,0)</x:f>
        <x:v>115</x:v>
      </x:c>
      <x:c r="H10" s="26" t="n">
        <x:f>D10*'Products'!H7/100</x:f>
        <x:v>132</x:v>
      </x:c>
      <x:c r="I10" s="26" t="n">
        <x:f>D10*'Products'!I7/100</x:f>
        <x:v>26</x:v>
      </x:c>
      <x:c r="J10" s="26" t="n">
        <x:f>D10*'Products'!J7/100</x:f>
        <x:v>0.4</x:v>
      </x:c>
      <x:c r="K10" s="26" t="n">
        <x:f>D10*'Products'!K7/100</x:f>
        <x:v>6</x:v>
      </x:c>
    </x:row>
    <x:row r="11">
      <x:c r="A11" s="23" t="str">
        <x:v>M-001</x:v>
      </x:c>
      <x:c r="B11" s="23" t="str">
        <x:v>P-010</x:v>
      </x:c>
      <x:c r="C11" s="23" t="str">
        <x:v>Куриное филе грудки</x:v>
      </x:c>
      <x:c r="D11" s="26" t="n">
        <x:v>400</x:v>
      </x:c>
      <x:c r="E11" s="26" t="str">
        <x:v>г</x:v>
      </x:c>
      <x:c r="F11" s="26" t="str">
        <x:v>400 г</x:v>
      </x:c>
      <x:c r="G11" s="26" t="n">
        <x:f>IFERROR(D11*'Products'!G14/100,0)</x:f>
        <x:v>0</x:v>
      </x:c>
      <x:c r="H11" s="26" t="n">
        <x:f>D11*'Products'!H14/100</x:f>
        <x:v>440</x:v>
      </x:c>
      <x:c r="I11" s="26" t="n">
        <x:f>D11*'Products'!I14/100</x:f>
        <x:v>92</x:v>
      </x:c>
      <x:c r="J11" s="26" t="n">
        <x:f>D11*'Products'!J14/100</x:f>
        <x:v>4.8</x:v>
      </x:c>
      <x:c r="K11" s="26" t="n">
        <x:f>D11*'Products'!K14/100</x:f>
        <x:v>0</x:v>
      </x:c>
    </x:row>
    <x:row r="12">
      <x:c r="A12" s="23" t="str">
        <x:v>M-001</x:v>
      </x:c>
      <x:c r="B12" s="23" t="str">
        <x:v>P-004</x:v>
      </x:c>
      <x:c r="C12" s="23" t="str">
        <x:v>Скир</x:v>
      </x:c>
      <x:c r="D12" s="26" t="n">
        <x:v>60</x:v>
      </x:c>
      <x:c r="E12" s="26" t="str">
        <x:v>г</x:v>
      </x:c>
      <x:c r="F12" s="26" t="str">
        <x:v>3 ст.л. ≈60 г</x:v>
      </x:c>
      <x:c r="G12" s="26" t="n">
        <x:f>IFERROR(D12*'Products'!G8/100,0)</x:f>
        <x:v>27.12</x:v>
      </x:c>
      <x:c r="H12" s="26" t="n">
        <x:f>D12*'Products'!H8/100</x:f>
        <x:v>37.2</x:v>
      </x:c>
      <x:c r="I12" s="26" t="n">
        <x:f>D12*'Products'!I8/100</x:f>
        <x:v>6.6</x:v>
      </x:c>
      <x:c r="J12" s="26" t="n">
        <x:f>D12*'Products'!J8/100</x:f>
        <x:v>0.12</x:v>
      </x:c>
      <x:c r="K12" s="26" t="n">
        <x:f>D12*'Products'!K8/100</x:f>
        <x:v>2.4</x:v>
      </x:c>
    </x:row>
    <x:row r="13">
      <x:c r="A13" s="23" t="str">
        <x:v>M-001</x:v>
      </x:c>
      <x:c r="B13" s="23" t="str">
        <x:v>P-001</x:v>
      </x:c>
      <x:c r="C13" s="23" t="str">
        <x:v>Яйцо</x:v>
      </x:c>
      <x:c r="D13" s="26" t="n">
        <x:v>2</x:v>
      </x:c>
      <x:c r="E13" s="26" t="str">
        <x:v>шт</x:v>
      </x:c>
      <x:c r="F13" s="26" t="str">
        <x:v>2 шт</x:v>
      </x:c>
      <x:c r="G13" s="26" t="n">
        <x:f>IFERROR(D13*'Products'!G5/1,0)</x:f>
        <x:v>40</x:v>
      </x:c>
      <x:c r="H13" s="26" t="n">
        <x:f>D13*'Products'!H5/1</x:f>
        <x:v>144</x:v>
      </x:c>
      <x:c r="I13" s="26" t="n">
        <x:f>D13*'Products'!I5/1</x:f>
        <x:v>12.6</x:v>
      </x:c>
      <x:c r="J13" s="26" t="n">
        <x:f>D13*'Products'!J5/1</x:f>
        <x:v>9.6</x:v>
      </x:c>
      <x:c r="K13" s="26" t="n">
        <x:f>D13*'Products'!K5/1</x:f>
        <x:v>0.8</x:v>
      </x:c>
    </x:row>
    <x:row r="14">
      <x:c r="A14" s="23" t="str">
        <x:v>M-001</x:v>
      </x:c>
      <x:c r="B14" s="23" t="str">
        <x:v>P-031</x:v>
      </x:c>
      <x:c r="C14" s="23" t="str">
        <x:v>Чеснок</x:v>
      </x:c>
      <x:c r="D14" s="26" t="n">
        <x:v>7</x:v>
      </x:c>
      <x:c r="E14" s="26" t="str">
        <x:v>г</x:v>
      </x:c>
      <x:c r="F14" s="26" t="str">
        <x:v>1 зубчик</x:v>
      </x:c>
      <x:c r="G14" s="26" t="n">
        <x:f>IFERROR(D14*'Products'!G35/100,0)</x:f>
        <x:v>4.6669</x:v>
      </x:c>
      <x:c r="H14" s="26" t="n">
        <x:f>D14*'Products'!H35/100</x:f>
        <x:v>10.43</x:v>
      </x:c>
      <x:c r="I14" s="26" t="n">
        <x:f>D14*'Products'!I35/100</x:f>
        <x:v>0.44800000000000006</x:v>
      </x:c>
      <x:c r="J14" s="26" t="n">
        <x:f>D14*'Products'!J35/100</x:f>
        <x:v>0.035</x:v>
      </x:c>
      <x:c r="K14" s="26" t="n">
        <x:f>D14*'Products'!K35/100</x:f>
        <x:v>2.317</x:v>
      </x:c>
    </x:row>
    <x:row r="15">
      <x:c r="A15" s="23" t="str">
        <x:v>M-001</x:v>
      </x:c>
      <x:c r="B15" s="23" t="str">
        <x:v>P-032</x:v>
      </x:c>
      <x:c r="C15" s="23" t="str">
        <x:v>Укроп / петрушка</x:v>
      </x:c>
      <x:c r="D15" s="26" t="n">
        <x:v>1</x:v>
      </x:c>
      <x:c r="E15" s="26" t="str">
        <x:v>г</x:v>
      </x:c>
      <x:c r="F15" s="26" t="str">
        <x:v>1/2 ч.л. сушеного</x:v>
      </x:c>
      <x:c r="G15" s="26" t="n">
        <x:f>IFERROR(D15*'Products'!G36/100,0)</x:f>
        <x:v>5.5</x:v>
      </x:c>
      <x:c r="H15" s="26" t="n">
        <x:f>D15*'Products'!H36/100</x:f>
        <x:v>0.36</x:v>
      </x:c>
      <x:c r="I15" s="26" t="n">
        <x:f>D15*'Products'!I36/100</x:f>
        <x:v>0.03</x:v>
      </x:c>
      <x:c r="J15" s="26" t="n">
        <x:f>D15*'Products'!J36/100</x:f>
        <x:v>0.008</x:v>
      </x:c>
      <x:c r="K15" s="26" t="n">
        <x:f>D15*'Products'!K36/100</x:f>
        <x:v>0.06</x:v>
      </x:c>
    </x:row>
    <x:row r="16">
      <x:c r="A16" s="23" t="str">
        <x:v>M-002</x:v>
      </x:c>
      <x:c r="B16" s="23" t="str">
        <x:v>P-014</x:v>
      </x:c>
      <x:c r="C16" s="23" t="str">
        <x:v>Говяжий фарш 7%</x:v>
      </x:c>
      <x:c r="D16" s="26" t="n">
        <x:v>270</x:v>
      </x:c>
      <x:c r="E16" s="26" t="str">
        <x:v>г</x:v>
      </x:c>
      <x:c r="F16" s="26" t="str">
        <x:v>270 г</x:v>
      </x:c>
      <x:c r="G16" s="26" t="n">
        <x:f>IFERROR(D16*'Products'!G18/100,0)</x:f>
        <x:v>425.25</x:v>
      </x:c>
      <x:c r="H16" s="26" t="n">
        <x:f>D16*'Products'!H18/100</x:f>
        <x:v>407.7</x:v>
      </x:c>
      <x:c r="I16" s="26" t="n">
        <x:f>D16*'Products'!I18/100</x:f>
        <x:v>56.7</x:v>
      </x:c>
      <x:c r="J16" s="26" t="n">
        <x:f>D16*'Products'!J18/100</x:f>
        <x:v>18.9</x:v>
      </x:c>
      <x:c r="K16" s="26" t="n">
        <x:f>D16*'Products'!K18/100</x:f>
        <x:v>0</x:v>
      </x:c>
    </x:row>
    <x:row r="17">
      <x:c r="A17" s="23" t="str">
        <x:v>M-002</x:v>
      </x:c>
      <x:c r="B17" s="23" t="str">
        <x:v>P-029</x:v>
      </x:c>
      <x:c r="C17" s="23" t="str">
        <x:v>Соус для пиццы/пасты</x:v>
      </x:c>
      <x:c r="D17" s="26" t="n">
        <x:v>350</x:v>
      </x:c>
      <x:c r="E17" s="26" t="str">
        <x:v>г</x:v>
      </x:c>
      <x:c r="F17" s="26" t="str">
        <x:v>350 г</x:v>
      </x:c>
      <x:c r="G17" s="26" t="n">
        <x:f>IFERROR(D17*'Products'!G33/100,0)</x:f>
        <x:v>172.095</x:v>
      </x:c>
      <x:c r="H17" s="26" t="n">
        <x:f>D17*'Products'!H33/100</x:f>
        <x:v>299.25</x:v>
      </x:c>
      <x:c r="I17" s="26" t="n">
        <x:f>D17*'Products'!I33/100</x:f>
        <x:v>6.3</x:v>
      </x:c>
      <x:c r="J17" s="26" t="n">
        <x:f>D17*'Products'!J33/100</x:f>
        <x:v>24.5</x:v>
      </x:c>
      <x:c r="K17" s="26" t="n">
        <x:f>D17*'Products'!K33/100</x:f>
        <x:v>18.55</x:v>
      </x:c>
    </x:row>
    <x:row r="18">
      <x:c r="A18" s="23" t="str">
        <x:v>M-002</x:v>
      </x:c>
      <x:c r="B18" s="23" t="str">
        <x:v>P-016</x:v>
      </x:c>
      <x:c r="C18" s="23" t="str">
        <x:v>Паста</x:v>
      </x:c>
      <x:c r="D18" s="26" t="n">
        <x:v>250</x:v>
      </x:c>
      <x:c r="E18" s="26" t="str">
        <x:v>г</x:v>
      </x:c>
      <x:c r="F18" s="26" t="str">
        <x:v>250 г</x:v>
      </x:c>
      <x:c r="G18" s="26" t="n">
        <x:f>IFERROR(D18*'Products'!G20/100,0)</x:f>
        <x:v>140</x:v>
      </x:c>
      <x:c r="H18" s="26" t="n">
        <x:f>D18*'Products'!H20/100</x:f>
        <x:v>777.5</x:v>
      </x:c>
      <x:c r="I18" s="26" t="n">
        <x:f>D18*'Products'!I20/100</x:f>
        <x:v>24.5</x:v>
      </x:c>
      <x:c r="J18" s="26" t="n">
        <x:f>D18*'Products'!J20/100</x:f>
        <x:v>8</x:v>
      </x:c>
      <x:c r="K18" s="26" t="n">
        <x:f>D18*'Products'!K20/100</x:f>
        <x:v>132</x:v>
      </x:c>
    </x:row>
    <x:row r="19">
      <x:c r="A19" s="23" t="str">
        <x:v>M-002</x:v>
      </x:c>
      <x:c r="B19" s="23" t="str">
        <x:v>P-008</x:v>
      </x:c>
      <x:c r="C19" s="23" t="str">
        <x:v>Пармиджано Реджано</x:v>
      </x:c>
      <x:c r="D19" s="26" t="n">
        <x:v>10</x:v>
      </x:c>
      <x:c r="E19" s="26" t="str">
        <x:v>г</x:v>
      </x:c>
      <x:c r="F19" s="26" t="str">
        <x:v>2 ч.л.</x:v>
      </x:c>
      <x:c r="G19" s="26" t="n">
        <x:f>IFERROR(D19*'Products'!G12/100,0)</x:f>
        <x:v>32</x:v>
      </x:c>
      <x:c r="H19" s="26" t="n">
        <x:f>D19*'Products'!H12/100</x:f>
        <x:v>40</x:v>
      </x:c>
      <x:c r="I19" s="26" t="n">
        <x:f>D19*'Products'!I12/100</x:f>
        <x:v>3.6</x:v>
      </x:c>
      <x:c r="J19" s="26" t="n">
        <x:f>D19*'Products'!J12/100</x:f>
        <x:v>2.9</x:v>
      </x:c>
      <x:c r="K19" s="26" t="n">
        <x:f>D19*'Products'!K12/100</x:f>
        <x:v>0.4</x:v>
      </x:c>
    </x:row>
    <x:row r="20">
      <x:c r="A20" s="23" t="str">
        <x:v>M-003</x:v>
      </x:c>
      <x:c r="B20" s="23" t="str">
        <x:v>P-015</x:v>
      </x:c>
      <x:c r="C20" s="23" t="str">
        <x:v>Протеиновая тортилья</x:v>
      </x:c>
      <x:c r="D20" s="26" t="n">
        <x:v>550</x:v>
      </x:c>
      <x:c r="E20" s="26" t="str">
        <x:v>г</x:v>
      </x:c>
      <x:c r="F20" s="26" t="str">
        <x:v>тесто: приближено тортильей по данным БЖУ</x:v>
      </x:c>
      <x:c r="G20" s="26" t="n">
        <x:f>IFERROR(D20*'Products'!G19/100,0)</x:f>
        <x:v>275</x:v>
      </x:c>
      <x:c r="H20" s="26" t="n">
        <x:f>D20*'Products'!H19/100</x:f>
        <x:v>1534.5</x:v>
      </x:c>
      <x:c r="I20" s="26" t="n">
        <x:f>D20*'Products'!I19/100</x:f>
        <x:v>99</x:v>
      </x:c>
      <x:c r="J20" s="26" t="n">
        <x:f>D20*'Products'!J19/100</x:f>
        <x:v>38.5</x:v>
      </x:c>
      <x:c r="K20" s="26" t="n">
        <x:f>D20*'Products'!K19/100</x:f>
        <x:v>203.5</x:v>
      </x:c>
    </x:row>
    <x:row r="21">
      <x:c r="A21" s="23" t="str">
        <x:v>M-003</x:v>
      </x:c>
      <x:c r="B21" s="23" t="str">
        <x:v>P-029</x:v>
      </x:c>
      <x:c r="C21" s="23" t="str">
        <x:v>Соус для пиццы/пасты</x:v>
      </x:c>
      <x:c r="D21" s="26" t="n">
        <x:v>400</x:v>
      </x:c>
      <x:c r="E21" s="26" t="str">
        <x:v>г</x:v>
      </x:c>
      <x:c r="F21" s="26" t="str">
        <x:v>400 г</x:v>
      </x:c>
      <x:c r="G21" s="26" t="n">
        <x:f>IFERROR(D21*'Products'!G33/100,0)</x:f>
        <x:v>196.68</x:v>
      </x:c>
      <x:c r="H21" s="26" t="n">
        <x:f>D21*'Products'!H33/100</x:f>
        <x:v>342</x:v>
      </x:c>
      <x:c r="I21" s="26" t="n">
        <x:f>D21*'Products'!I33/100</x:f>
        <x:v>7.2</x:v>
      </x:c>
      <x:c r="J21" s="26" t="n">
        <x:f>D21*'Products'!J33/100</x:f>
        <x:v>28</x:v>
      </x:c>
      <x:c r="K21" s="26" t="n">
        <x:f>D21*'Products'!K33/100</x:f>
        <x:v>21.2</x:v>
      </x:c>
    </x:row>
    <x:row r="22">
      <x:c r="A22" s="23" t="str">
        <x:v>M-003</x:v>
      </x:c>
      <x:c r="B22" s="23" t="str">
        <x:v>P-007</x:v>
      </x:c>
      <x:c r="C22" s="23" t="str">
        <x:v>Моцарелла light</x:v>
      </x:c>
      <x:c r="D22" s="26" t="n">
        <x:v>125</x:v>
      </x:c>
      <x:c r="E22" s="26" t="str">
        <x:v>г</x:v>
      </x:c>
      <x:c r="F22" s="26" t="str">
        <x:v>125 г</x:v>
      </x:c>
      <x:c r="G22" s="26" t="n">
        <x:f>IFERROR(D22*'Products'!G11/100,0)</x:f>
        <x:v>114</x:v>
      </x:c>
      <x:c r="H22" s="26" t="n">
        <x:f>D22*'Products'!H11/100</x:f>
        <x:v>205</x:v>
      </x:c>
      <x:c r="I22" s="26" t="n">
        <x:f>D22*'Products'!I11/100</x:f>
        <x:v>25.5</x:v>
      </x:c>
      <x:c r="J22" s="26" t="n">
        <x:f>D22*'Products'!J11/100</x:f>
        <x:v>10.625</x:v>
      </x:c>
      <x:c r="K22" s="26" t="n">
        <x:f>D22*'Products'!K11/100</x:f>
        <x:v>1.875</x:v>
      </x:c>
    </x:row>
    <x:row r="23">
      <x:c r="A23" s="23" t="str">
        <x:v>M-003</x:v>
      </x:c>
      <x:c r="B23" s="23" t="str">
        <x:v>P-010</x:v>
      </x:c>
      <x:c r="C23" s="23" t="str">
        <x:v>Куриное филе грудки</x:v>
      </x:c>
      <x:c r="D23" s="26" t="n">
        <x:v>250</x:v>
      </x:c>
      <x:c r="E23" s="26" t="str">
        <x:v>г</x:v>
      </x:c>
      <x:c r="F23" s="26" t="str">
        <x:v>индейка: временно профиль куриного филе</x:v>
      </x:c>
      <x:c r="G23" s="26" t="n">
        <x:f>IFERROR(D23*'Products'!G14/100,0)</x:f>
        <x:v>0</x:v>
      </x:c>
      <x:c r="H23" s="26" t="n">
        <x:f>D23*'Products'!H14/100</x:f>
        <x:v>275</x:v>
      </x:c>
      <x:c r="I23" s="26" t="n">
        <x:f>D23*'Products'!I14/100</x:f>
        <x:v>57.5</x:v>
      </x:c>
      <x:c r="J23" s="26" t="n">
        <x:f>D23*'Products'!J14/100</x:f>
        <x:v>3</x:v>
      </x:c>
      <x:c r="K23" s="26" t="n">
        <x:f>D23*'Products'!K14/100</x:f>
        <x:v>0</x:v>
      </x:c>
    </x:row>
    <x:row r="24">
      <x:c r="A24" s="23" t="str">
        <x:v>M-004</x:v>
      </x:c>
      <x:c r="B24" s="23" t="str">
        <x:v>P-010</x:v>
      </x:c>
      <x:c r="C24" s="23" t="str">
        <x:v>Куриное филе грудки</x:v>
      </x:c>
      <x:c r="D24" s="26" t="n">
        <x:v>400</x:v>
      </x:c>
      <x:c r="E24" s="26" t="str">
        <x:v>г</x:v>
      </x:c>
      <x:c r="F24" s="26" t="str">
        <x:v>400 г</x:v>
      </x:c>
      <x:c r="G24" s="26" t="n">
        <x:f>IFERROR(D24*'Products'!G14/100,0)</x:f>
        <x:v>0</x:v>
      </x:c>
      <x:c r="H24" s="26" t="n">
        <x:f>D24*'Products'!H14/100</x:f>
        <x:v>440</x:v>
      </x:c>
      <x:c r="I24" s="26" t="n">
        <x:f>D24*'Products'!I14/100</x:f>
        <x:v>92</x:v>
      </x:c>
      <x:c r="J24" s="26" t="n">
        <x:f>D24*'Products'!J14/100</x:f>
        <x:v>4.8</x:v>
      </x:c>
      <x:c r="K24" s="26" t="n">
        <x:f>D24*'Products'!K14/100</x:f>
        <x:v>0</x:v>
      </x:c>
    </x:row>
    <x:row r="25">
      <x:c r="A25" s="23" t="str">
        <x:v>M-004</x:v>
      </x:c>
      <x:c r="B25" s="23" t="str">
        <x:v>P-003</x:v>
      </x:c>
      <x:c r="C25" s="23" t="str">
        <x:v>Творог 0,2% (новый)</x:v>
      </x:c>
      <x:c r="D25" s="26" t="n">
        <x:v>200</x:v>
      </x:c>
      <x:c r="E25" s="26" t="str">
        <x:v>г</x:v>
      </x:c>
      <x:c r="F25" s="26" t="str">
        <x:v>200 г</x:v>
      </x:c>
      <x:c r="G25" s="26" t="n">
        <x:f>IFERROR(D25*'Products'!G7/100,0)</x:f>
        <x:v>115</x:v>
      </x:c>
      <x:c r="H25" s="26" t="n">
        <x:f>D25*'Products'!H7/100</x:f>
        <x:v>132</x:v>
      </x:c>
      <x:c r="I25" s="26" t="n">
        <x:f>D25*'Products'!I7/100</x:f>
        <x:v>26</x:v>
      </x:c>
      <x:c r="J25" s="26" t="n">
        <x:f>D25*'Products'!J7/100</x:f>
        <x:v>0.4</x:v>
      </x:c>
      <x:c r="K25" s="26" t="n">
        <x:f>D25*'Products'!K7/100</x:f>
        <x:v>6</x:v>
      </x:c>
    </x:row>
    <x:row r="26">
      <x:c r="A26" s="23" t="str">
        <x:v>M-004</x:v>
      </x:c>
      <x:c r="B26" s="23" t="str">
        <x:v>P-001</x:v>
      </x:c>
      <x:c r="C26" s="23" t="str">
        <x:v>Яйцо</x:v>
      </x:c>
      <x:c r="D26" s="26" t="n">
        <x:v>1</x:v>
      </x:c>
      <x:c r="E26" s="26" t="str">
        <x:v>шт</x:v>
      </x:c>
      <x:c r="F26" s="26" t="str">
        <x:v>1 шт</x:v>
      </x:c>
      <x:c r="G26" s="26" t="n">
        <x:f>IFERROR(D26*'Products'!G5/1,0)</x:f>
        <x:v>20</x:v>
      </x:c>
      <x:c r="H26" s="26" t="n">
        <x:f>D26*'Products'!H5/1</x:f>
        <x:v>72</x:v>
      </x:c>
      <x:c r="I26" s="26" t="n">
        <x:f>D26*'Products'!I5/1</x:f>
        <x:v>6.3</x:v>
      </x:c>
      <x:c r="J26" s="26" t="n">
        <x:f>D26*'Products'!J5/1</x:f>
        <x:v>4.8</x:v>
      </x:c>
      <x:c r="K26" s="26" t="n">
        <x:f>D26*'Products'!K5/1</x:f>
        <x:v>0.4</x:v>
      </x:c>
    </x:row>
    <x:row r="27">
      <x:c r="A27" s="23" t="str">
        <x:v>M-004</x:v>
      </x:c>
      <x:c r="B27" s="23" t="str">
        <x:v>P-032</x:v>
      </x:c>
      <x:c r="C27" s="23" t="str">
        <x:v>Укроп / петрушка</x:v>
      </x:c>
      <x:c r="D27" s="26" t="n">
        <x:v>5</x:v>
      </x:c>
      <x:c r="E27" s="26" t="str">
        <x:v>г</x:v>
      </x:c>
      <x:c r="F27" s="26" t="str">
        <x:v>5 г</x:v>
      </x:c>
      <x:c r="G27" s="26" t="n">
        <x:f>IFERROR(D27*'Products'!G36/100,0)</x:f>
        <x:v>27.5</x:v>
      </x:c>
      <x:c r="H27" s="26" t="n">
        <x:f>D27*'Products'!H36/100</x:f>
        <x:v>1.8</x:v>
      </x:c>
      <x:c r="I27" s="26" t="n">
        <x:f>D27*'Products'!I36/100</x:f>
        <x:v>0.15</x:v>
      </x:c>
      <x:c r="J27" s="26" t="n">
        <x:f>D27*'Products'!J36/100</x:f>
        <x:v>0.04</x:v>
      </x:c>
      <x:c r="K27" s="26" t="n">
        <x:f>D27*'Products'!K36/100</x:f>
        <x:v>0.3</x:v>
      </x:c>
    </x:row>
    <x:row r="28">
      <x:c r="A28" s="23" t="str">
        <x:v>M-004</x:v>
      </x:c>
      <x:c r="B28" s="23" t="str">
        <x:v>P-031</x:v>
      </x:c>
      <x:c r="C28" s="23" t="str">
        <x:v>Чеснок</x:v>
      </x:c>
      <x:c r="D28" s="26" t="n">
        <x:v>5</x:v>
      </x:c>
      <x:c r="E28" s="26" t="str">
        <x:v>г</x:v>
      </x:c>
      <x:c r="F28" s="26" t="str">
        <x:v>5 г</x:v>
      </x:c>
      <x:c r="G28" s="26" t="n">
        <x:f>IFERROR(D28*'Products'!G35/100,0)</x:f>
        <x:v>3.3335000000000004</x:v>
      </x:c>
      <x:c r="H28" s="26" t="n">
        <x:f>D28*'Products'!H35/100</x:f>
        <x:v>7.45</x:v>
      </x:c>
      <x:c r="I28" s="26" t="n">
        <x:f>D28*'Products'!I35/100</x:f>
        <x:v>0.32</x:v>
      </x:c>
      <x:c r="J28" s="26" t="n">
        <x:f>D28*'Products'!J35/100</x:f>
        <x:v>0.025</x:v>
      </x:c>
      <x:c r="K28" s="26" t="n">
        <x:f>D28*'Products'!K35/100</x:f>
        <x:v>1.655</x:v>
      </x:c>
    </x:row>
    <x:row r="29">
      <x:c r="A29" s="23" t="str">
        <x:v>M-005</x:v>
      </x:c>
      <x:c r="B29" s="23" t="str">
        <x:v>P-022</x:v>
      </x:c>
      <x:c r="C29" s="23" t="str">
        <x:v>Баклажан</x:v>
      </x:c>
      <x:c r="D29" s="26" t="n">
        <x:v>300</x:v>
      </x:c>
      <x:c r="E29" s="26" t="str">
        <x:v>г</x:v>
      </x:c>
      <x:c r="F29" s="26" t="str">
        <x:v>300 г</x:v>
      </x:c>
      <x:c r="G29" s="26" t="n">
        <x:f>IFERROR(D29*'Products'!G26/100,0)</x:f>
        <x:v>69</x:v>
      </x:c>
      <x:c r="H29" s="26" t="n">
        <x:f>D29*'Products'!H26/100</x:f>
        <x:v>75</x:v>
      </x:c>
      <x:c r="I29" s="26" t="n">
        <x:f>D29*'Products'!I26/100</x:f>
        <x:v>3</x:v>
      </x:c>
      <x:c r="J29" s="26" t="n">
        <x:f>D29*'Products'!J26/100</x:f>
        <x:v>0.3</x:v>
      </x:c>
      <x:c r="K29" s="26" t="n">
        <x:f>D29*'Products'!K26/100</x:f>
        <x:v>18</x:v>
      </x:c>
    </x:row>
    <x:row r="30">
      <x:c r="A30" s="23" t="str">
        <x:v>M-005</x:v>
      </x:c>
      <x:c r="B30" s="23" t="str">
        <x:v>P-020</x:v>
      </x:c>
      <x:c r="C30" s="23" t="str">
        <x:v>Помидор</x:v>
      </x:c>
      <x:c r="D30" s="26" t="n">
        <x:v>400</x:v>
      </x:c>
      <x:c r="E30" s="26" t="str">
        <x:v>г</x:v>
      </x:c>
      <x:c r="F30" s="26" t="str">
        <x:v>400 г</x:v>
      </x:c>
      <x:c r="G30" s="26" t="n">
        <x:f>IFERROR(D30*'Products'!G24/100,0)</x:f>
        <x:v>80</x:v>
      </x:c>
      <x:c r="H30" s="26" t="n">
        <x:f>D30*'Products'!H24/100</x:f>
        <x:v>72</x:v>
      </x:c>
      <x:c r="I30" s="26" t="n">
        <x:f>D30*'Products'!I24/100</x:f>
        <x:v>3.6</x:v>
      </x:c>
      <x:c r="J30" s="26" t="n">
        <x:f>D30*'Products'!J24/100</x:f>
        <x:v>0.8</x:v>
      </x:c>
      <x:c r="K30" s="26" t="n">
        <x:f>D30*'Products'!K24/100</x:f>
        <x:v>15.6</x:v>
      </x:c>
    </x:row>
    <x:row r="31">
      <x:c r="A31" s="23" t="str">
        <x:v>M-005</x:v>
      </x:c>
      <x:c r="B31" s="23" t="str">
        <x:v>P-030</x:v>
      </x:c>
      <x:c r="C31" s="23" t="str">
        <x:v>Вяленые томаты в масле</x:v>
      </x:c>
      <x:c r="D31" s="26" t="n">
        <x:v>20</x:v>
      </x:c>
      <x:c r="E31" s="26" t="str">
        <x:v>г</x:v>
      </x:c>
      <x:c r="F31" s="26" t="str">
        <x:v>4 половинки</x:v>
      </x:c>
      <x:c r="G31" s="26" t="n">
        <x:f>IFERROR(D31*'Products'!G34/100,0)</x:f>
        <x:v>50</x:v>
      </x:c>
      <x:c r="H31" s="26" t="n">
        <x:f>D31*'Products'!H34/100</x:f>
        <x:v>52</x:v>
      </x:c>
      <x:c r="I31" s="26" t="n">
        <x:f>D31*'Products'!I34/100</x:f>
        <x:v>1.2</x:v>
      </x:c>
      <x:c r="J31" s="26" t="n">
        <x:f>D31*'Products'!J34/100</x:f>
        <x:v>3.2</x:v>
      </x:c>
      <x:c r="K31" s="26" t="n">
        <x:f>D31*'Products'!K34/100</x:f>
        <x:v>4.6</x:v>
      </x:c>
    </x:row>
    <x:row r="32">
      <x:c r="A32" s="23" t="str">
        <x:v>M-005</x:v>
      </x:c>
      <x:c r="B32" s="23" t="str">
        <x:v>P-027</x:v>
      </x:c>
      <x:c r="C32" s="23" t="str">
        <x:v>Оливковое масло</x:v>
      </x:c>
      <x:c r="D32" s="26" t="n">
        <x:v>5</x:v>
      </x:c>
      <x:c r="E32" s="26" t="str">
        <x:v>мл</x:v>
      </x:c>
      <x:c r="F32" s="26" t="str">
        <x:v>1 ч.л.</x:v>
      </x:c>
      <x:c r="G32" s="26" t="n">
        <x:f>IFERROR(D32*'Products'!G31/100,0)</x:f>
        <x:v>4</x:v>
      </x:c>
      <x:c r="H32" s="26" t="n">
        <x:f>D32*'Products'!H31/100</x:f>
        <x:v>44.2</x:v>
      </x:c>
      <x:c r="I32" s="26" t="n">
        <x:f>D32*'Products'!I31/100</x:f>
        <x:v>0</x:v>
      </x:c>
      <x:c r="J32" s="26" t="n">
        <x:f>D32*'Products'!J31/100</x:f>
        <x:v>5</x:v>
      </x:c>
      <x:c r="K32" s="26" t="n">
        <x:f>D32*'Products'!K31/100</x:f>
        <x:v>0</x:v>
      </x:c>
    </x:row>
    <x:row r="33">
      <x:c r="A33" s="23" t="str">
        <x:v>M-005</x:v>
      </x:c>
      <x:c r="B33" s="23" t="str">
        <x:v>P-007</x:v>
      </x:c>
      <x:c r="C33" s="23" t="str">
        <x:v>Моцарелла light</x:v>
      </x:c>
      <x:c r="D33" s="26" t="n">
        <x:v>125</x:v>
      </x:c>
      <x:c r="E33" s="26" t="str">
        <x:v>г</x:v>
      </x:c>
      <x:c r="F33" s="26" t="str">
        <x:v>125 г</x:v>
      </x:c>
      <x:c r="G33" s="26" t="n">
        <x:f>IFERROR(D33*'Products'!G11/100,0)</x:f>
        <x:v>114</x:v>
      </x:c>
      <x:c r="H33" s="26" t="n">
        <x:f>D33*'Products'!H11/100</x:f>
        <x:v>205</x:v>
      </x:c>
      <x:c r="I33" s="26" t="n">
        <x:f>D33*'Products'!I11/100</x:f>
        <x:v>25.5</x:v>
      </x:c>
      <x:c r="J33" s="26" t="n">
        <x:f>D33*'Products'!J11/100</x:f>
        <x:v>10.625</x:v>
      </x:c>
      <x:c r="K33" s="26" t="n">
        <x:f>D33*'Products'!K11/100</x:f>
        <x:v>1.875</x:v>
      </x:c>
    </x:row>
    <x:row r="34">
      <x:c r="A34" s="23" t="str">
        <x:v>M-005</x:v>
      </x:c>
      <x:c r="B34" s="23" t="str">
        <x:v>P-016</x:v>
      </x:c>
      <x:c r="C34" s="23" t="str">
        <x:v>Паста</x:v>
      </x:c>
      <x:c r="D34" s="26" t="n">
        <x:v>250</x:v>
      </x:c>
      <x:c r="E34" s="26" t="str">
        <x:v>г</x:v>
      </x:c>
      <x:c r="F34" s="26" t="str">
        <x:v>250 г</x:v>
      </x:c>
      <x:c r="G34" s="26" t="n">
        <x:f>IFERROR(D34*'Products'!G20/100,0)</x:f>
        <x:v>140</x:v>
      </x:c>
      <x:c r="H34" s="26" t="n">
        <x:f>D34*'Products'!H20/100</x:f>
        <x:v>777.5</x:v>
      </x:c>
      <x:c r="I34" s="26" t="n">
        <x:f>D34*'Products'!I20/100</x:f>
        <x:v>24.5</x:v>
      </x:c>
      <x:c r="J34" s="26" t="n">
        <x:f>D34*'Products'!J20/100</x:f>
        <x:v>8</x:v>
      </x:c>
      <x:c r="K34" s="26" t="n">
        <x:f>D34*'Products'!K20/100</x:f>
        <x:v>132</x:v>
      </x:c>
    </x:row>
    <x:row r="35">
      <x:c r="A35" s="23" t="str">
        <x:v>M-005</x:v>
      </x:c>
      <x:c r="B35" s="23" t="str">
        <x:v>P-008</x:v>
      </x:c>
      <x:c r="C35" s="23" t="str">
        <x:v>Пармиджано Реджано</x:v>
      </x:c>
      <x:c r="D35" s="26" t="n">
        <x:v>5</x:v>
      </x:c>
      <x:c r="E35" s="26" t="str">
        <x:v>г</x:v>
      </x:c>
      <x:c r="F35" s="26" t="str">
        <x:v>1 ч.л.</x:v>
      </x:c>
      <x:c r="G35" s="26" t="n">
        <x:f>IFERROR(D35*'Products'!G12/100,0)</x:f>
        <x:v>16</x:v>
      </x:c>
      <x:c r="H35" s="26" t="n">
        <x:f>D35*'Products'!H12/100</x:f>
        <x:v>20</x:v>
      </x:c>
      <x:c r="I35" s="26" t="n">
        <x:f>D35*'Products'!I12/100</x:f>
        <x:v>1.8</x:v>
      </x:c>
      <x:c r="J35" s="26" t="n">
        <x:f>D35*'Products'!J12/100</x:f>
        <x:v>1.45</x:v>
      </x:c>
      <x:c r="K35" s="26" t="n">
        <x:f>D35*'Products'!K12/100</x:f>
        <x:v>0.2</x:v>
      </x:c>
    </x:row>
    <x:row r="36">
      <x:c r="A36" s="23" t="str">
        <x:v>S-001</x:v>
      </x:c>
      <x:c r="B36" s="23" t="str">
        <x:v>P-001</x:v>
      </x:c>
      <x:c r="C36" s="23" t="str">
        <x:v>Яйцо</x:v>
      </x:c>
      <x:c r="D36" s="26" t="n">
        <x:v>2</x:v>
      </x:c>
      <x:c r="E36" s="26" t="str">
        <x:v>шт</x:v>
      </x:c>
      <x:c r="F36" s="26" t="str">
        <x:v>2 шт</x:v>
      </x:c>
      <x:c r="G36" s="26" t="n">
        <x:f>IFERROR(D36*'Products'!G5/1,0)</x:f>
        <x:v>40</x:v>
      </x:c>
      <x:c r="H36" s="26" t="n">
        <x:f>D36*'Products'!H5/1</x:f>
        <x:v>144</x:v>
      </x:c>
      <x:c r="I36" s="26" t="n">
        <x:f>D36*'Products'!I5/1</x:f>
        <x:v>12.6</x:v>
      </x:c>
      <x:c r="J36" s="26" t="n">
        <x:f>D36*'Products'!J5/1</x:f>
        <x:v>9.6</x:v>
      </x:c>
      <x:c r="K36" s="26" t="n">
        <x:f>D36*'Products'!K5/1</x:f>
        <x:v>0.8</x:v>
      </x:c>
    </x:row>
    <x:row r="37">
      <x:c r="A37" s="23" t="str">
        <x:v>S-001</x:v>
      </x:c>
      <x:c r="B37" s="23" t="str">
        <x:v>P-009</x:v>
      </x:c>
      <x:c r="C37" s="23" t="str">
        <x:v>Тунец в собственном соку</x:v>
      </x:c>
      <x:c r="D37" s="26" t="n">
        <x:v>160</x:v>
      </x:c>
      <x:c r="E37" s="26" t="str">
        <x:v>г</x:v>
      </x:c>
      <x:c r="F37" s="26" t="str">
        <x:v>1 банка</x:v>
      </x:c>
      <x:c r="G37" s="26" t="n">
        <x:f>IFERROR(D37*'Products'!G13/100,0)</x:f>
        <x:v>140</x:v>
      </x:c>
      <x:c r="H37" s="26" t="n">
        <x:f>D37*'Products'!H13/100</x:f>
        <x:v>185.6</x:v>
      </x:c>
      <x:c r="I37" s="26" t="n">
        <x:f>D37*'Products'!I13/100</x:f>
        <x:v>41.6</x:v>
      </x:c>
      <x:c r="J37" s="26" t="n">
        <x:f>D37*'Products'!J13/100</x:f>
        <x:v>1.6</x:v>
      </x:c>
      <x:c r="K37" s="26" t="n">
        <x:f>D37*'Products'!K13/100</x:f>
        <x:v>0</x:v>
      </x:c>
    </x:row>
    <x:row r="38">
      <x:c r="A38" s="23" t="str">
        <x:v>S-001</x:v>
      </x:c>
      <x:c r="B38" s="23" t="str">
        <x:v>P-007</x:v>
      </x:c>
      <x:c r="C38" s="23" t="str">
        <x:v>Моцарелла light</x:v>
      </x:c>
      <x:c r="D38" s="26" t="n">
        <x:v>125</x:v>
      </x:c>
      <x:c r="E38" s="26" t="str">
        <x:v>г</x:v>
      </x:c>
      <x:c r="F38" s="26" t="str">
        <x:v>125 г</x:v>
      </x:c>
      <x:c r="G38" s="26" t="n">
        <x:f>IFERROR(D38*'Products'!G11/100,0)</x:f>
        <x:v>114</x:v>
      </x:c>
      <x:c r="H38" s="26" t="n">
        <x:f>D38*'Products'!H11/100</x:f>
        <x:v>205</x:v>
      </x:c>
      <x:c r="I38" s="26" t="n">
        <x:f>D38*'Products'!I11/100</x:f>
        <x:v>25.5</x:v>
      </x:c>
      <x:c r="J38" s="26" t="n">
        <x:f>D38*'Products'!J11/100</x:f>
        <x:v>10.625</x:v>
      </x:c>
      <x:c r="K38" s="26" t="n">
        <x:f>D38*'Products'!K11/100</x:f>
        <x:v>1.875</x:v>
      </x:c>
    </x:row>
    <x:row r="39">
      <x:c r="A39" s="23" t="str">
        <x:v>S-001</x:v>
      </x:c>
      <x:c r="B39" s="23" t="str">
        <x:v>P-021</x:v>
      </x:c>
      <x:c r="C39" s="23" t="str">
        <x:v>Огурец</x:v>
      </x:c>
      <x:c r="D39" s="26" t="n">
        <x:v>150</x:v>
      </x:c>
      <x:c r="E39" s="26" t="str">
        <x:v>г</x:v>
      </x:c>
      <x:c r="F39" s="26" t="str">
        <x:v>150 г</x:v>
      </x:c>
      <x:c r="G39" s="26" t="n">
        <x:f>IFERROR(D39*'Products'!G25/100,0)</x:f>
        <x:v>31.5</x:v>
      </x:c>
      <x:c r="H39" s="26" t="n">
        <x:f>D39*'Products'!H25/100</x:f>
        <x:v>22.5</x:v>
      </x:c>
      <x:c r="I39" s="26" t="n">
        <x:f>D39*'Products'!I25/100</x:f>
        <x:v>1.05</x:v>
      </x:c>
      <x:c r="J39" s="26" t="n">
        <x:f>D39*'Products'!J25/100</x:f>
        <x:v>0.15</x:v>
      </x:c>
      <x:c r="K39" s="26" t="n">
        <x:f>D39*'Products'!K25/100</x:f>
        <x:v>4.95</x:v>
      </x:c>
    </x:row>
    <x:row r="40">
      <x:c r="A40" s="23" t="str">
        <x:v>S-001</x:v>
      </x:c>
      <x:c r="B40" s="23" t="str">
        <x:v>P-029</x:v>
      </x:c>
      <x:c r="C40" s="23" t="str">
        <x:v>Соус для пиццы/пасты</x:v>
      </x:c>
      <x:c r="D40" s="26" t="n">
        <x:v>60</x:v>
      </x:c>
      <x:c r="E40" s="26" t="str">
        <x:v>г</x:v>
      </x:c>
      <x:c r="F40" s="26" t="str">
        <x:v>соус 60 г</x:v>
      </x:c>
      <x:c r="G40" s="26" t="n">
        <x:f>IFERROR(D40*'Products'!G33/100,0)</x:f>
        <x:v>29.502000000000002</x:v>
      </x:c>
      <x:c r="H40" s="26" t="n">
        <x:f>D40*'Products'!H33/100</x:f>
        <x:v>51.3</x:v>
      </x:c>
      <x:c r="I40" s="26" t="n">
        <x:f>D40*'Products'!I33/100</x:f>
        <x:v>1.08</x:v>
      </x:c>
      <x:c r="J40" s="26" t="n">
        <x:f>D40*'Products'!J33/100</x:f>
        <x:v>4.2</x:v>
      </x:c>
      <x:c r="K40" s="26" t="n">
        <x:f>D40*'Products'!K33/100</x:f>
        <x:v>3.18</x:v>
      </x:c>
    </x:row>
    <x:row r="41">
      <x:c r="A41" s="23" t="str">
        <x:v>S-002</x:v>
      </x:c>
      <x:c r="B41" s="23" t="str">
        <x:v>P-001</x:v>
      </x:c>
      <x:c r="C41" s="23" t="str">
        <x:v>Яйцо</x:v>
      </x:c>
      <x:c r="D41" s="26" t="n">
        <x:v>2</x:v>
      </x:c>
      <x:c r="E41" s="26" t="str">
        <x:v>шт</x:v>
      </x:c>
      <x:c r="F41" s="26" t="str">
        <x:v>2 шт</x:v>
      </x:c>
      <x:c r="G41" s="26" t="n">
        <x:f>IFERROR(D41*'Products'!G5/1,0)</x:f>
        <x:v>40</x:v>
      </x:c>
      <x:c r="H41" s="26" t="n">
        <x:f>D41*'Products'!H5/1</x:f>
        <x:v>144</x:v>
      </x:c>
      <x:c r="I41" s="26" t="n">
        <x:f>D41*'Products'!I5/1</x:f>
        <x:v>12.6</x:v>
      </x:c>
      <x:c r="J41" s="26" t="n">
        <x:f>D41*'Products'!J5/1</x:f>
        <x:v>9.6</x:v>
      </x:c>
      <x:c r="K41" s="26" t="n">
        <x:f>D41*'Products'!K5/1</x:f>
        <x:v>0.8</x:v>
      </x:c>
    </x:row>
    <x:row r="42">
      <x:c r="A42" s="23" t="str">
        <x:v>S-002</x:v>
      </x:c>
      <x:c r="B42" s="23" t="str">
        <x:v>P-011</x:v>
      </x:c>
      <x:c r="C42" s="23" t="str">
        <x:v>Филе куриного бедра</x:v>
      </x:c>
      <x:c r="D42" s="26" t="n">
        <x:v>300</x:v>
      </x:c>
      <x:c r="E42" s="26" t="str">
        <x:v>г</x:v>
      </x:c>
      <x:c r="F42" s="26" t="str">
        <x:v>300 г сырых</x:v>
      </x:c>
      <x:c r="G42" s="26" t="n">
        <x:f>IFERROR(D42*'Products'!G15/100,0)</x:f>
        <x:v>126.93</x:v>
      </x:c>
      <x:c r="H42" s="26" t="n">
        <x:f>D42*'Products'!H15/100</x:f>
        <x:v>495</x:v>
      </x:c>
      <x:c r="I42" s="26" t="n">
        <x:f>D42*'Products'!I15/100</x:f>
        <x:v>57</x:v>
      </x:c>
      <x:c r="J42" s="26" t="n">
        <x:f>D42*'Products'!J15/100</x:f>
        <x:v>27</x:v>
      </x:c>
      <x:c r="K42" s="26" t="n">
        <x:f>D42*'Products'!K15/100</x:f>
        <x:v>0</x:v>
      </x:c>
    </x:row>
    <x:row r="43">
      <x:c r="A43" s="23" t="str">
        <x:v>S-002</x:v>
      </x:c>
      <x:c r="B43" s="23" t="str">
        <x:v>P-007</x:v>
      </x:c>
      <x:c r="C43" s="23" t="str">
        <x:v>Моцарелла light</x:v>
      </x:c>
      <x:c r="D43" s="26" t="n">
        <x:v>125</x:v>
      </x:c>
      <x:c r="E43" s="26" t="str">
        <x:v>г</x:v>
      </x:c>
      <x:c r="F43" s="26" t="str">
        <x:v>125 г</x:v>
      </x:c>
      <x:c r="G43" s="26" t="n">
        <x:f>IFERROR(D43*'Products'!G11/100,0)</x:f>
        <x:v>114</x:v>
      </x:c>
      <x:c r="H43" s="26" t="n">
        <x:f>D43*'Products'!H11/100</x:f>
        <x:v>205</x:v>
      </x:c>
      <x:c r="I43" s="26" t="n">
        <x:f>D43*'Products'!I11/100</x:f>
        <x:v>25.5</x:v>
      </x:c>
      <x:c r="J43" s="26" t="n">
        <x:f>D43*'Products'!J11/100</x:f>
        <x:v>10.625</x:v>
      </x:c>
      <x:c r="K43" s="26" t="n">
        <x:f>D43*'Products'!K11/100</x:f>
        <x:v>1.875</x:v>
      </x:c>
    </x:row>
    <x:row r="44">
      <x:c r="A44" s="23" t="str">
        <x:v>S-002</x:v>
      </x:c>
      <x:c r="B44" s="23" t="str">
        <x:v>P-021</x:v>
      </x:c>
      <x:c r="C44" s="23" t="str">
        <x:v>Огурец</x:v>
      </x:c>
      <x:c r="D44" s="26" t="n">
        <x:v>150</x:v>
      </x:c>
      <x:c r="E44" s="26" t="str">
        <x:v>г</x:v>
      </x:c>
      <x:c r="F44" s="26" t="str">
        <x:v>150 г</x:v>
      </x:c>
      <x:c r="G44" s="26" t="n">
        <x:f>IFERROR(D44*'Products'!G25/100,0)</x:f>
        <x:v>31.5</x:v>
      </x:c>
      <x:c r="H44" s="26" t="n">
        <x:f>D44*'Products'!H25/100</x:f>
        <x:v>22.5</x:v>
      </x:c>
      <x:c r="I44" s="26" t="n">
        <x:f>D44*'Products'!I25/100</x:f>
        <x:v>1.05</x:v>
      </x:c>
      <x:c r="J44" s="26" t="n">
        <x:f>D44*'Products'!J25/100</x:f>
        <x:v>0.15</x:v>
      </x:c>
      <x:c r="K44" s="26" t="n">
        <x:f>D44*'Products'!K25/100</x:f>
        <x:v>4.95</x:v>
      </x:c>
    </x:row>
    <x:row r="45">
      <x:c r="A45" s="23" t="str">
        <x:v>S-002</x:v>
      </x:c>
      <x:c r="B45" s="23" t="str">
        <x:v>P-029</x:v>
      </x:c>
      <x:c r="C45" s="23" t="str">
        <x:v>Соус для пиццы/пасты</x:v>
      </x:c>
      <x:c r="D45" s="26" t="n">
        <x:v>60</x:v>
      </x:c>
      <x:c r="E45" s="26" t="str">
        <x:v>г</x:v>
      </x:c>
      <x:c r="F45" s="26" t="str">
        <x:v>соус 60 г</x:v>
      </x:c>
      <x:c r="G45" s="26" t="n">
        <x:f>IFERROR(D45*'Products'!G33/100,0)</x:f>
        <x:v>29.502000000000002</x:v>
      </x:c>
      <x:c r="H45" s="26" t="n">
        <x:f>D45*'Products'!H33/100</x:f>
        <x:v>51.3</x:v>
      </x:c>
      <x:c r="I45" s="26" t="n">
        <x:f>D45*'Products'!I33/100</x:f>
        <x:v>1.08</x:v>
      </x:c>
      <x:c r="J45" s="26" t="n">
        <x:f>D45*'Products'!J33/100</x:f>
        <x:v>4.2</x:v>
      </x:c>
      <x:c r="K45" s="26" t="n">
        <x:f>D45*'Products'!K33/100</x:f>
        <x:v>3.18</x:v>
      </x:c>
    </x:row>
    <x:row r="46">
      <x:c r="A46" s="23" t="str">
        <x:v>S-003</x:v>
      </x:c>
      <x:c r="B46" s="23" t="str">
        <x:v>P-001</x:v>
      </x:c>
      <x:c r="C46" s="23" t="str">
        <x:v>Яйцо</x:v>
      </x:c>
      <x:c r="D46" s="26" t="n">
        <x:v>2</x:v>
      </x:c>
      <x:c r="E46" s="26" t="str">
        <x:v>шт</x:v>
      </x:c>
      <x:c r="F46" s="26" t="str">
        <x:v>2 шт</x:v>
      </x:c>
      <x:c r="G46" s="26" t="n">
        <x:f>IFERROR(D46*'Products'!G5/1,0)</x:f>
        <x:v>40</x:v>
      </x:c>
      <x:c r="H46" s="26" t="n">
        <x:f>D46*'Products'!H5/1</x:f>
        <x:v>144</x:v>
      </x:c>
      <x:c r="I46" s="26" t="n">
        <x:f>D46*'Products'!I5/1</x:f>
        <x:v>12.6</x:v>
      </x:c>
      <x:c r="J46" s="26" t="n">
        <x:f>D46*'Products'!J5/1</x:f>
        <x:v>9.6</x:v>
      </x:c>
      <x:c r="K46" s="26" t="n">
        <x:f>D46*'Products'!K5/1</x:f>
        <x:v>0.8</x:v>
      </x:c>
    </x:row>
    <x:row r="47">
      <x:c r="A47" s="23" t="str">
        <x:v>S-003</x:v>
      </x:c>
      <x:c r="B47" s="23" t="str">
        <x:v>P-012</x:v>
      </x:c>
      <x:c r="C47" s="23" t="str">
        <x:v>Куриные желудки</x:v>
      </x:c>
      <x:c r="D47" s="26" t="n">
        <x:v>250</x:v>
      </x:c>
      <x:c r="E47" s="26" t="str">
        <x:v>г</x:v>
      </x:c>
      <x:c r="F47" s="26" t="str">
        <x:v>250 г</x:v>
      </x:c>
      <x:c r="G47" s="26" t="n">
        <x:f>IFERROR(D47*'Products'!G16/100,0)</x:f>
        <x:v>80.55</x:v>
      </x:c>
      <x:c r="H47" s="26" t="n">
        <x:f>D47*'Products'!H16/100</x:f>
        <x:v>235</x:v>
      </x:c>
      <x:c r="I47" s="26" t="n">
        <x:f>D47*'Products'!I16/100</x:f>
        <x:v>45</x:v>
      </x:c>
      <x:c r="J47" s="26" t="n">
        <x:f>D47*'Products'!J16/100</x:f>
        <x:v>5</x:v>
      </x:c>
      <x:c r="K47" s="26" t="n">
        <x:f>D47*'Products'!K16/100</x:f>
        <x:v>1.5</x:v>
      </x:c>
    </x:row>
    <x:row r="48">
      <x:c r="A48" s="23" t="str">
        <x:v>S-003</x:v>
      </x:c>
      <x:c r="B48" s="23" t="str">
        <x:v>P-007</x:v>
      </x:c>
      <x:c r="C48" s="23" t="str">
        <x:v>Моцарелла light</x:v>
      </x:c>
      <x:c r="D48" s="26" t="n">
        <x:v>125</x:v>
      </x:c>
      <x:c r="E48" s="26" t="str">
        <x:v>г</x:v>
      </x:c>
      <x:c r="F48" s="26" t="str">
        <x:v>125 г</x:v>
      </x:c>
      <x:c r="G48" s="26" t="n">
        <x:f>IFERROR(D48*'Products'!G11/100,0)</x:f>
        <x:v>114</x:v>
      </x:c>
      <x:c r="H48" s="26" t="n">
        <x:f>D48*'Products'!H11/100</x:f>
        <x:v>205</x:v>
      </x:c>
      <x:c r="I48" s="26" t="n">
        <x:f>D48*'Products'!I11/100</x:f>
        <x:v>25.5</x:v>
      </x:c>
      <x:c r="J48" s="26" t="n">
        <x:f>D48*'Products'!J11/100</x:f>
        <x:v>10.625</x:v>
      </x:c>
      <x:c r="K48" s="26" t="n">
        <x:f>D48*'Products'!K11/100</x:f>
        <x:v>1.875</x:v>
      </x:c>
    </x:row>
    <x:row r="49">
      <x:c r="A49" s="23" t="str">
        <x:v>S-003</x:v>
      </x:c>
      <x:c r="B49" s="23" t="str">
        <x:v>P-021</x:v>
      </x:c>
      <x:c r="C49" s="23" t="str">
        <x:v>Огурец</x:v>
      </x:c>
      <x:c r="D49" s="26" t="n">
        <x:v>150</x:v>
      </x:c>
      <x:c r="E49" s="26" t="str">
        <x:v>г</x:v>
      </x:c>
      <x:c r="F49" s="26" t="str">
        <x:v>150 г</x:v>
      </x:c>
      <x:c r="G49" s="26" t="n">
        <x:f>IFERROR(D49*'Products'!G25/100,0)</x:f>
        <x:v>31.5</x:v>
      </x:c>
      <x:c r="H49" s="26" t="n">
        <x:f>D49*'Products'!H25/100</x:f>
        <x:v>22.5</x:v>
      </x:c>
      <x:c r="I49" s="26" t="n">
        <x:f>D49*'Products'!I25/100</x:f>
        <x:v>1.05</x:v>
      </x:c>
      <x:c r="J49" s="26" t="n">
        <x:f>D49*'Products'!J25/100</x:f>
        <x:v>0.15</x:v>
      </x:c>
      <x:c r="K49" s="26" t="n">
        <x:f>D49*'Products'!K25/100</x:f>
        <x:v>4.95</x:v>
      </x:c>
    </x:row>
    <x:row r="50">
      <x:c r="A50" s="23" t="str">
        <x:v>S-003</x:v>
      </x:c>
      <x:c r="B50" s="23" t="str">
        <x:v>P-029</x:v>
      </x:c>
      <x:c r="C50" s="23" t="str">
        <x:v>Соус для пиццы/пасты</x:v>
      </x:c>
      <x:c r="D50" s="26" t="n">
        <x:v>60</x:v>
      </x:c>
      <x:c r="E50" s="26" t="str">
        <x:v>г</x:v>
      </x:c>
      <x:c r="F50" s="26" t="str">
        <x:v>соус 60 г</x:v>
      </x:c>
      <x:c r="G50" s="26" t="n">
        <x:f>IFERROR(D50*'Products'!G33/100,0)</x:f>
        <x:v>29.502000000000002</x:v>
      </x:c>
      <x:c r="H50" s="26" t="n">
        <x:f>D50*'Products'!H33/100</x:f>
        <x:v>51.3</x:v>
      </x:c>
      <x:c r="I50" s="26" t="n">
        <x:f>D50*'Products'!I33/100</x:f>
        <x:v>1.08</x:v>
      </x:c>
      <x:c r="J50" s="26" t="n">
        <x:f>D50*'Products'!J33/100</x:f>
        <x:v>4.2</x:v>
      </x:c>
      <x:c r="K50" s="26" t="n">
        <x:f>D50*'Products'!K33/100</x:f>
        <x:v>3.18</x:v>
      </x:c>
    </x:row>
    <x:row r="51">
      <x:c r="A51" s="23" t="str">
        <x:v>W-001</x:v>
      </x:c>
      <x:c r="B51" s="23" t="str">
        <x:v>P-001</x:v>
      </x:c>
      <x:c r="C51" s="23" t="str">
        <x:v>Яйцо</x:v>
      </x:c>
      <x:c r="D51" s="26" t="n">
        <x:v>2</x:v>
      </x:c>
      <x:c r="E51" s="26" t="str">
        <x:v>шт</x:v>
      </x:c>
      <x:c r="F51" s="26" t="str">
        <x:v>2 шт</x:v>
      </x:c>
      <x:c r="G51" s="26" t="n">
        <x:f>IFERROR(D51*'Products'!G5/1,0)</x:f>
        <x:v>40</x:v>
      </x:c>
      <x:c r="H51" s="26" t="n">
        <x:f>D51*'Products'!H5/1</x:f>
        <x:v>144</x:v>
      </x:c>
      <x:c r="I51" s="26" t="n">
        <x:f>D51*'Products'!I5/1</x:f>
        <x:v>12.6</x:v>
      </x:c>
      <x:c r="J51" s="26" t="n">
        <x:f>D51*'Products'!J5/1</x:f>
        <x:v>9.6</x:v>
      </x:c>
      <x:c r="K51" s="26" t="n">
        <x:f>D51*'Products'!K5/1</x:f>
        <x:v>0.8</x:v>
      </x:c>
    </x:row>
    <x:row r="52">
      <x:c r="A52" s="23" t="str">
        <x:v>W-001</x:v>
      </x:c>
      <x:c r="B52" s="23" t="str">
        <x:v>P-021</x:v>
      </x:c>
      <x:c r="C52" s="23" t="str">
        <x:v>Огурец</x:v>
      </x:c>
      <x:c r="D52" s="26" t="n">
        <x:v>150</x:v>
      </x:c>
      <x:c r="E52" s="26" t="str">
        <x:v>г</x:v>
      </x:c>
      <x:c r="F52" s="26" t="str">
        <x:v>150 г</x:v>
      </x:c>
      <x:c r="G52" s="26" t="n">
        <x:f>IFERROR(D52*'Products'!G25/100,0)</x:f>
        <x:v>31.5</x:v>
      </x:c>
      <x:c r="H52" s="26" t="n">
        <x:f>D52*'Products'!H25/100</x:f>
        <x:v>22.5</x:v>
      </x:c>
      <x:c r="I52" s="26" t="n">
        <x:f>D52*'Products'!I25/100</x:f>
        <x:v>1.05</x:v>
      </x:c>
      <x:c r="J52" s="26" t="n">
        <x:f>D52*'Products'!J25/100</x:f>
        <x:v>0.15</x:v>
      </x:c>
      <x:c r="K52" s="26" t="n">
        <x:f>D52*'Products'!K25/100</x:f>
        <x:v>4.95</x:v>
      </x:c>
    </x:row>
    <x:row r="53">
      <x:c r="A53" s="23" t="str">
        <x:v>W-001</x:v>
      </x:c>
      <x:c r="B53" s="23" t="str">
        <x:v>P-009</x:v>
      </x:c>
      <x:c r="C53" s="23" t="str">
        <x:v>Тунец в собственном соку</x:v>
      </x:c>
      <x:c r="D53" s="26" t="n">
        <x:v>160</x:v>
      </x:c>
      <x:c r="E53" s="26" t="str">
        <x:v>г</x:v>
      </x:c>
      <x:c r="F53" s="26" t="str">
        <x:v>1 банка</x:v>
      </x:c>
      <x:c r="G53" s="26" t="n">
        <x:f>IFERROR(D53*'Products'!G13/100,0)</x:f>
        <x:v>140</x:v>
      </x:c>
      <x:c r="H53" s="26" t="n">
        <x:f>D53*'Products'!H13/100</x:f>
        <x:v>185.6</x:v>
      </x:c>
      <x:c r="I53" s="26" t="n">
        <x:f>D53*'Products'!I13/100</x:f>
        <x:v>41.6</x:v>
      </x:c>
      <x:c r="J53" s="26" t="n">
        <x:f>D53*'Products'!J13/100</x:f>
        <x:v>1.6</x:v>
      </x:c>
      <x:c r="K53" s="26" t="n">
        <x:f>D53*'Products'!K13/100</x:f>
        <x:v>0</x:v>
      </x:c>
    </x:row>
    <x:row r="54">
      <x:c r="A54" s="23" t="str">
        <x:v>W-001</x:v>
      </x:c>
      <x:c r="B54" s="23" t="str">
        <x:v>P-005</x:v>
      </x:c>
      <x:c r="C54" s="23" t="str">
        <x:v>Греческий йогурт 2%</x:v>
      </x:c>
      <x:c r="D54" s="26" t="n">
        <x:v>40</x:v>
      </x:c>
      <x:c r="E54" s="26" t="str">
        <x:v>г</x:v>
      </x:c>
      <x:c r="F54" s="26" t="str">
        <x:v>2 ст.л.</x:v>
      </x:c>
      <x:c r="G54" s="26" t="n">
        <x:f>IFERROR(D54*'Products'!G9/100,0)</x:f>
        <x:v>8</x:v>
      </x:c>
      <x:c r="H54" s="26" t="n">
        <x:f>D54*'Products'!H9/100</x:f>
        <x:v>29.2</x:v>
      </x:c>
      <x:c r="I54" s="26" t="n">
        <x:f>D54*'Products'!I9/100</x:f>
        <x:v>2</x:v>
      </x:c>
      <x:c r="J54" s="26" t="n">
        <x:f>D54*'Products'!J9/100</x:f>
        <x:v>0.8</x:v>
      </x:c>
      <x:c r="K54" s="26" t="n">
        <x:f>D54*'Products'!K9/100</x:f>
        <x:v>1.6</x:v>
      </x:c>
    </x:row>
    <x:row r="55">
      <x:c r="A55" s="23" t="str">
        <x:v>W-001</x:v>
      </x:c>
      <x:c r="B55" s="23" t="str">
        <x:v>P-032</x:v>
      </x:c>
      <x:c r="C55" s="23" t="str">
        <x:v>Укроп / петрушка</x:v>
      </x:c>
      <x:c r="D55" s="26" t="n">
        <x:v>5</x:v>
      </x:c>
      <x:c r="E55" s="26" t="str">
        <x:v>г</x:v>
      </x:c>
      <x:c r="F55" s="26" t="str">
        <x:v>5 г</x:v>
      </x:c>
      <x:c r="G55" s="26" t="n">
        <x:f>IFERROR(D55*'Products'!G36/100,0)</x:f>
        <x:v>27.5</x:v>
      </x:c>
      <x:c r="H55" s="26" t="n">
        <x:f>D55*'Products'!H36/100</x:f>
        <x:v>1.8</x:v>
      </x:c>
      <x:c r="I55" s="26" t="n">
        <x:f>D55*'Products'!I36/100</x:f>
        <x:v>0.15</x:v>
      </x:c>
      <x:c r="J55" s="26" t="n">
        <x:f>D55*'Products'!J36/100</x:f>
        <x:v>0.04</x:v>
      </x:c>
      <x:c r="K55" s="26" t="n">
        <x:f>D55*'Products'!K36/100</x:f>
        <x:v>0.3</x:v>
      </x:c>
    </x:row>
    <x:row r="56">
      <x:c r="A56" s="23" t="str">
        <x:v>W-001</x:v>
      </x:c>
      <x:c r="B56" s="23" t="str">
        <x:v>P-002</x:v>
      </x:c>
      <x:c r="C56" s="23" t="str">
        <x:v>Творог 0,2% (старый)</x:v>
      </x:c>
      <x:c r="D56" s="26" t="n">
        <x:v>100</x:v>
      </x:c>
      <x:c r="E56" s="26" t="str">
        <x:v>г</x:v>
      </x:c>
      <x:c r="F56" s="26" t="str">
        <x:v>4 ст.л.</x:v>
      </x:c>
      <x:c r="G56" s="26" t="n">
        <x:f>IFERROR(D56*'Products'!G6/100,0)</x:f>
        <x:v>40.5</x:v>
      </x:c>
      <x:c r="H56" s="26" t="n">
        <x:f>D56*'Products'!H6/100</x:f>
        <x:v>66</x:v>
      </x:c>
      <x:c r="I56" s="26" t="n">
        <x:f>D56*'Products'!I6/100</x:f>
        <x:v>12</x:v>
      </x:c>
      <x:c r="J56" s="26" t="n">
        <x:f>D56*'Products'!J6/100</x:f>
        <x:v>0.2</x:v>
      </x:c>
      <x:c r="K56" s="26" t="n">
        <x:f>D56*'Products'!K6/100</x:f>
        <x:v>4.1</x:v>
      </x:c>
    </x:row>
    <x:row r="57">
      <x:c r="A57" s="23" t="str">
        <x:v>W-001</x:v>
      </x:c>
      <x:c r="B57" s="23" t="str">
        <x:v>P-015</x:v>
      </x:c>
      <x:c r="C57" s="23" t="str">
        <x:v>Протеиновая тортилья</x:v>
      </x:c>
      <x:c r="D57" s="26" t="n">
        <x:v>160</x:v>
      </x:c>
      <x:c r="E57" s="26" t="str">
        <x:v>г</x:v>
      </x:c>
      <x:c r="F57" s="26" t="str">
        <x:v>160 г</x:v>
      </x:c>
      <x:c r="G57" s="26" t="n">
        <x:f>IFERROR(D57*'Products'!G19/100,0)</x:f>
        <x:v>80</x:v>
      </x:c>
      <x:c r="H57" s="26" t="n">
        <x:f>D57*'Products'!H19/100</x:f>
        <x:v>446.4</x:v>
      </x:c>
      <x:c r="I57" s="26" t="n">
        <x:f>D57*'Products'!I19/100</x:f>
        <x:v>28.8</x:v>
      </x:c>
      <x:c r="J57" s="26" t="n">
        <x:f>D57*'Products'!J19/100</x:f>
        <x:v>11.2</x:v>
      </x:c>
      <x:c r="K57" s="26" t="n">
        <x:f>D57*'Products'!K19/100</x:f>
        <x:v>59.2</x:v>
      </x:c>
    </x:row>
    <x:row r="58">
      <x:c r="A58" s="23" t="str">
        <x:v>W-002</x:v>
      </x:c>
      <x:c r="B58" s="23" t="str">
        <x:v>P-015</x:v>
      </x:c>
      <x:c r="C58" s="23" t="str">
        <x:v>Протеиновая тортилья</x:v>
      </x:c>
      <x:c r="D58" s="26" t="n">
        <x:v>160</x:v>
      </x:c>
      <x:c r="E58" s="26" t="str">
        <x:v>г</x:v>
      </x:c>
      <x:c r="F58" s="26" t="str">
        <x:v>160 г</x:v>
      </x:c>
      <x:c r="G58" s="26" t="n">
        <x:f>IFERROR(D58*'Products'!G19/100,0)</x:f>
        <x:v>80</x:v>
      </x:c>
      <x:c r="H58" s="26" t="n">
        <x:f>D58*'Products'!H19/100</x:f>
        <x:v>446.4</x:v>
      </x:c>
      <x:c r="I58" s="26" t="n">
        <x:f>D58*'Products'!I19/100</x:f>
        <x:v>28.8</x:v>
      </x:c>
      <x:c r="J58" s="26" t="n">
        <x:f>D58*'Products'!J19/100</x:f>
        <x:v>11.2</x:v>
      </x:c>
      <x:c r="K58" s="26" t="n">
        <x:f>D58*'Products'!K19/100</x:f>
        <x:v>59.2</x:v>
      </x:c>
    </x:row>
    <x:row r="59">
      <x:c r="A59" s="23" t="str">
        <x:v>W-002</x:v>
      </x:c>
      <x:c r="B59" s="23" t="str">
        <x:v>P-013</x:v>
      </x:c>
      <x:c r="C59" s="23" t="str">
        <x:v>Креветки королевские в панцире</x:v>
      </x:c>
      <x:c r="D59" s="26" t="n">
        <x:v>400</x:v>
      </x:c>
      <x:c r="E59" s="26" t="str">
        <x:v>г</x:v>
      </x:c>
      <x:c r="F59" s="26" t="str">
        <x:v>400 г в панцире; покупка целиком</x:v>
      </x:c>
      <x:c r="G59" s="26" t="n">
        <x:f>IFERROR(D59*'Products'!G17/100,0)</x:f>
        <x:v>800</x:v>
      </x:c>
      <x:c r="H59" s="26" t="n">
        <x:f>D59*'Products'!H17/100</x:f>
        <x:v>396</x:v>
      </x:c>
      <x:c r="I59" s="26" t="n">
        <x:f>D59*'Products'!I17/100</x:f>
        <x:v>96</x:v>
      </x:c>
      <x:c r="J59" s="26" t="n">
        <x:f>D59*'Products'!J17/100</x:f>
        <x:v>1.2</x:v>
      </x:c>
      <x:c r="K59" s="26" t="n">
        <x:f>D59*'Products'!K17/100</x:f>
        <x:v>0.8</x:v>
      </x:c>
    </x:row>
    <x:row r="60">
      <x:c r="A60" s="23" t="str">
        <x:v>W-002</x:v>
      </x:c>
      <x:c r="B60" s="23" t="str">
        <x:v>P-002</x:v>
      </x:c>
      <x:c r="C60" s="23" t="str">
        <x:v>Творог 0,2% (старый)</x:v>
      </x:c>
      <x:c r="D60" s="26" t="n">
        <x:v>50</x:v>
      </x:c>
      <x:c r="E60" s="26" t="str">
        <x:v>г</x:v>
      </x:c>
      <x:c r="F60" s="26" t="str">
        <x:v>2 ст.л.</x:v>
      </x:c>
      <x:c r="G60" s="26" t="n">
        <x:f>IFERROR(D60*'Products'!G6/100,0)</x:f>
        <x:v>20.25</x:v>
      </x:c>
      <x:c r="H60" s="26" t="n">
        <x:f>D60*'Products'!H6/100</x:f>
        <x:v>33</x:v>
      </x:c>
      <x:c r="I60" s="26" t="n">
        <x:f>D60*'Products'!I6/100</x:f>
        <x:v>6</x:v>
      </x:c>
      <x:c r="J60" s="26" t="n">
        <x:f>D60*'Products'!J6/100</x:f>
        <x:v>0.1</x:v>
      </x:c>
      <x:c r="K60" s="26" t="n">
        <x:f>D60*'Products'!K6/100</x:f>
        <x:v>2.05</x:v>
      </x:c>
    </x:row>
    <x:row r="61">
      <x:c r="A61" s="23" t="str">
        <x:v>W-002</x:v>
      </x:c>
      <x:c r="B61" s="23" t="str">
        <x:v>P-005</x:v>
      </x:c>
      <x:c r="C61" s="23" t="str">
        <x:v>Греческий йогурт 2%</x:v>
      </x:c>
      <x:c r="D61" s="26" t="n">
        <x:v>20</x:v>
      </x:c>
      <x:c r="E61" s="26" t="str">
        <x:v>г</x:v>
      </x:c>
      <x:c r="F61" s="26" t="str">
        <x:v>1 ст.л.</x:v>
      </x:c>
      <x:c r="G61" s="26" t="n">
        <x:f>IFERROR(D61*'Products'!G9/100,0)</x:f>
        <x:v>4</x:v>
      </x:c>
      <x:c r="H61" s="26" t="n">
        <x:f>D61*'Products'!H9/100</x:f>
        <x:v>14.6</x:v>
      </x:c>
      <x:c r="I61" s="26" t="n">
        <x:f>D61*'Products'!I9/100</x:f>
        <x:v>1</x:v>
      </x:c>
      <x:c r="J61" s="26" t="n">
        <x:f>D61*'Products'!J9/100</x:f>
        <x:v>0.4</x:v>
      </x:c>
      <x:c r="K61" s="26" t="n">
        <x:f>D61*'Products'!K9/100</x:f>
        <x:v>0.8</x:v>
      </x:c>
    </x:row>
    <x:row r="62">
      <x:c r="A62" s="23" t="str">
        <x:v>W-002</x:v>
      </x:c>
      <x:c r="B62" s="23" t="str">
        <x:v>P-020</x:v>
      </x:c>
      <x:c r="C62" s="23" t="str">
        <x:v>Помидор</x:v>
      </x:c>
      <x:c r="D62" s="26" t="n">
        <x:v>200</x:v>
      </x:c>
      <x:c r="E62" s="26" t="str">
        <x:v>г</x:v>
      </x:c>
      <x:c r="F62" s="26" t="str">
        <x:v>200 г</x:v>
      </x:c>
      <x:c r="G62" s="26" t="n">
        <x:f>IFERROR(D62*'Products'!G24/100,0)</x:f>
        <x:v>40</x:v>
      </x:c>
      <x:c r="H62" s="26" t="n">
        <x:f>D62*'Products'!H24/100</x:f>
        <x:v>36</x:v>
      </x:c>
      <x:c r="I62" s="26" t="n">
        <x:f>D62*'Products'!I24/100</x:f>
        <x:v>1.8</x:v>
      </x:c>
      <x:c r="J62" s="26" t="n">
        <x:f>D62*'Products'!J24/100</x:f>
        <x:v>0.4</x:v>
      </x:c>
      <x:c r="K62" s="26" t="n">
        <x:f>D62*'Products'!K24/100</x:f>
        <x:v>7.8</x:v>
      </x:c>
    </x:row>
    <x:row r="63">
      <x:c r="A63" s="23" t="str">
        <x:v>W-002</x:v>
      </x:c>
      <x:c r="B63" s="23" t="str">
        <x:v>P-021</x:v>
      </x:c>
      <x:c r="C63" s="23" t="str">
        <x:v>Огурец</x:v>
      </x:c>
      <x:c r="D63" s="26" t="n">
        <x:v>150</x:v>
      </x:c>
      <x:c r="E63" s="26" t="str">
        <x:v>г</x:v>
      </x:c>
      <x:c r="F63" s="26" t="str">
        <x:v>150 г</x:v>
      </x:c>
      <x:c r="G63" s="26" t="n">
        <x:f>IFERROR(D63*'Products'!G25/100,0)</x:f>
        <x:v>31.5</x:v>
      </x:c>
      <x:c r="H63" s="26" t="n">
        <x:f>D63*'Products'!H25/100</x:f>
        <x:v>22.5</x:v>
      </x:c>
      <x:c r="I63" s="26" t="n">
        <x:f>D63*'Products'!I25/100</x:f>
        <x:v>1.05</x:v>
      </x:c>
      <x:c r="J63" s="26" t="n">
        <x:f>D63*'Products'!J25/100</x:f>
        <x:v>0.15</x:v>
      </x:c>
      <x:c r="K63" s="26" t="n">
        <x:f>D63*'Products'!K25/100</x:f>
        <x:v>4.95</x:v>
      </x:c>
    </x:row>
    <x:row r="64">
      <x:c r="A64" s="23" t="str">
        <x:v>W-002</x:v>
      </x:c>
      <x:c r="B64" s="23" t="str">
        <x:v>P-031</x:v>
      </x:c>
      <x:c r="C64" s="23" t="str">
        <x:v>Чеснок</x:v>
      </x:c>
      <x:c r="D64" s="26" t="n">
        <x:v>5</x:v>
      </x:c>
      <x:c r="E64" s="26" t="str">
        <x:v>г</x:v>
      </x:c>
      <x:c r="F64" s="26" t="str">
        <x:v>1 зубчик</x:v>
      </x:c>
      <x:c r="G64" s="26" t="n">
        <x:f>IFERROR(D64*'Products'!G35/100,0)</x:f>
        <x:v>3.3335000000000004</x:v>
      </x:c>
      <x:c r="H64" s="26" t="n">
        <x:f>D64*'Products'!H35/100</x:f>
        <x:v>7.45</x:v>
      </x:c>
      <x:c r="I64" s="26" t="n">
        <x:f>D64*'Products'!I35/100</x:f>
        <x:v>0.32</x:v>
      </x:c>
      <x:c r="J64" s="26" t="n">
        <x:f>D64*'Products'!J35/100</x:f>
        <x:v>0.025</x:v>
      </x:c>
      <x:c r="K64" s="26" t="n">
        <x:f>D64*'Products'!K35/100</x:f>
        <x:v>1.655</x:v>
      </x:c>
    </x:row>
    <x:row r="65">
      <x:c r="A65" s="23" t="str">
        <x:v>W-002</x:v>
      </x:c>
      <x:c r="B65" s="23" t="str">
        <x:v>P-032</x:v>
      </x:c>
      <x:c r="C65" s="23" t="str">
        <x:v>Укроп / петрушка</x:v>
      </x:c>
      <x:c r="D65" s="26" t="n">
        <x:v>5</x:v>
      </x:c>
      <x:c r="E65" s="26" t="str">
        <x:v>г</x:v>
      </x:c>
      <x:c r="F65" s="26" t="str">
        <x:v>5 г</x:v>
      </x:c>
      <x:c r="G65" s="26" t="n">
        <x:f>IFERROR(D65*'Products'!G36/100,0)</x:f>
        <x:v>27.5</x:v>
      </x:c>
      <x:c r="H65" s="26" t="n">
        <x:f>D65*'Products'!H36/100</x:f>
        <x:v>1.8</x:v>
      </x:c>
      <x:c r="I65" s="26" t="n">
        <x:f>D65*'Products'!I36/100</x:f>
        <x:v>0.15</x:v>
      </x:c>
      <x:c r="J65" s="26" t="n">
        <x:f>D65*'Products'!J36/100</x:f>
        <x:v>0.04</x:v>
      </x:c>
      <x:c r="K65" s="26" t="n">
        <x:f>D65*'Products'!K36/100</x:f>
        <x:v>0.3</x:v>
      </x:c>
    </x:row>
    <x:row r="66">
      <x:c r="A66" s="23" t="str">
        <x:v>W-002</x:v>
      </x:c>
      <x:c r="B66" s="23" t="str">
        <x:v>P-008</x:v>
      </x:c>
      <x:c r="C66" s="23" t="str">
        <x:v>Пармиджано Реджано</x:v>
      </x:c>
      <x:c r="D66" s="26" t="n">
        <x:v>5</x:v>
      </x:c>
      <x:c r="E66" s="26" t="str">
        <x:v>г</x:v>
      </x:c>
      <x:c r="F66" s="26" t="str">
        <x:v>1 ч.л.</x:v>
      </x:c>
      <x:c r="G66" s="26" t="n">
        <x:f>IFERROR(D66*'Products'!G12/100,0)</x:f>
        <x:v>16</x:v>
      </x:c>
      <x:c r="H66" s="26" t="n">
        <x:f>D66*'Products'!H12/100</x:f>
        <x:v>20</x:v>
      </x:c>
      <x:c r="I66" s="26" t="n">
        <x:f>D66*'Products'!I12/100</x:f>
        <x:v>1.8</x:v>
      </x:c>
      <x:c r="J66" s="26" t="n">
        <x:f>D66*'Products'!J12/100</x:f>
        <x:v>1.45</x:v>
      </x:c>
      <x:c r="K66" s="26" t="n">
        <x:f>D66*'Products'!K12/100</x:f>
        <x:v>0.2</x:v>
      </x:c>
    </x:row>
    <x:row r="67">
      <x:c r="A67" s="23" t="str">
        <x:v>W-003</x:v>
      </x:c>
      <x:c r="B67" s="23" t="str">
        <x:v>P-011</x:v>
      </x:c>
      <x:c r="C67" s="23" t="str">
        <x:v>Филе куриного бедра</x:v>
      </x:c>
      <x:c r="D67" s="26" t="n">
        <x:v>300</x:v>
      </x:c>
      <x:c r="E67" s="26" t="str">
        <x:v>г</x:v>
      </x:c>
      <x:c r="F67" s="26" t="str">
        <x:v>300 г</x:v>
      </x:c>
      <x:c r="G67" s="26" t="n">
        <x:f>IFERROR(D67*'Products'!G15/100,0)</x:f>
        <x:v>126.93</x:v>
      </x:c>
      <x:c r="H67" s="26" t="n">
        <x:f>D67*'Products'!H15/100</x:f>
        <x:v>495</x:v>
      </x:c>
      <x:c r="I67" s="26" t="n">
        <x:f>D67*'Products'!I15/100</x:f>
        <x:v>57</x:v>
      </x:c>
      <x:c r="J67" s="26" t="n">
        <x:f>D67*'Products'!J15/100</x:f>
        <x:v>27</x:v>
      </x:c>
      <x:c r="K67" s="26" t="n">
        <x:f>D67*'Products'!K15/100</x:f>
        <x:v>0</x:v>
      </x:c>
    </x:row>
    <x:row r="68">
      <x:c r="A68" s="23" t="str">
        <x:v>W-003</x:v>
      </x:c>
      <x:c r="B68" s="23" t="str">
        <x:v>P-002</x:v>
      </x:c>
      <x:c r="C68" s="23" t="str">
        <x:v>Творог 0,2% (старый)</x:v>
      </x:c>
      <x:c r="D68" s="26" t="n">
        <x:v>75</x:v>
      </x:c>
      <x:c r="E68" s="26" t="str">
        <x:v>г</x:v>
      </x:c>
      <x:c r="F68" s="26" t="str">
        <x:v>3 ст.л.</x:v>
      </x:c>
      <x:c r="G68" s="26" t="n">
        <x:f>IFERROR(D68*'Products'!G6/100,0)</x:f>
        <x:v>30.375</x:v>
      </x:c>
      <x:c r="H68" s="26" t="n">
        <x:f>D68*'Products'!H6/100</x:f>
        <x:v>49.5</x:v>
      </x:c>
      <x:c r="I68" s="26" t="n">
        <x:f>D68*'Products'!I6/100</x:f>
        <x:v>9</x:v>
      </x:c>
      <x:c r="J68" s="26" t="n">
        <x:f>D68*'Products'!J6/100</x:f>
        <x:v>0.15</x:v>
      </x:c>
      <x:c r="K68" s="26" t="n">
        <x:f>D68*'Products'!K6/100</x:f>
        <x:v>3.075</x:v>
      </x:c>
    </x:row>
    <x:row r="69">
      <x:c r="A69" s="23" t="str">
        <x:v>W-003</x:v>
      </x:c>
      <x:c r="B69" s="23" t="str">
        <x:v>P-005</x:v>
      </x:c>
      <x:c r="C69" s="23" t="str">
        <x:v>Греческий йогурт 2%</x:v>
      </x:c>
      <x:c r="D69" s="26" t="n">
        <x:v>60</x:v>
      </x:c>
      <x:c r="E69" s="26" t="str">
        <x:v>г</x:v>
      </x:c>
      <x:c r="F69" s="26" t="str">
        <x:v>3 ст.л.</x:v>
      </x:c>
      <x:c r="G69" s="26" t="n">
        <x:f>IFERROR(D69*'Products'!G9/100,0)</x:f>
        <x:v>12</x:v>
      </x:c>
      <x:c r="H69" s="26" t="n">
        <x:f>D69*'Products'!H9/100</x:f>
        <x:v>43.8</x:v>
      </x:c>
      <x:c r="I69" s="26" t="n">
        <x:f>D69*'Products'!I9/100</x:f>
        <x:v>3</x:v>
      </x:c>
      <x:c r="J69" s="26" t="n">
        <x:f>D69*'Products'!J9/100</x:f>
        <x:v>1.2</x:v>
      </x:c>
      <x:c r="K69" s="26" t="n">
        <x:f>D69*'Products'!K9/100</x:f>
        <x:v>2.4</x:v>
      </x:c>
    </x:row>
    <x:row r="70">
      <x:c r="A70" s="23" t="str">
        <x:v>W-003</x:v>
      </x:c>
      <x:c r="B70" s="23" t="str">
        <x:v>P-021</x:v>
      </x:c>
      <x:c r="C70" s="23" t="str">
        <x:v>Огурец</x:v>
      </x:c>
      <x:c r="D70" s="26" t="n">
        <x:v>150</x:v>
      </x:c>
      <x:c r="E70" s="26" t="str">
        <x:v>г</x:v>
      </x:c>
      <x:c r="F70" s="26" t="str">
        <x:v>150 г</x:v>
      </x:c>
      <x:c r="G70" s="26" t="n">
        <x:f>IFERROR(D70*'Products'!G25/100,0)</x:f>
        <x:v>31.5</x:v>
      </x:c>
      <x:c r="H70" s="26" t="n">
        <x:f>D70*'Products'!H25/100</x:f>
        <x:v>22.5</x:v>
      </x:c>
      <x:c r="I70" s="26" t="n">
        <x:f>D70*'Products'!I25/100</x:f>
        <x:v>1.05</x:v>
      </x:c>
      <x:c r="J70" s="26" t="n">
        <x:f>D70*'Products'!J25/100</x:f>
        <x:v>0.15</x:v>
      </x:c>
      <x:c r="K70" s="26" t="n">
        <x:f>D70*'Products'!K25/100</x:f>
        <x:v>4.95</x:v>
      </x:c>
    </x:row>
    <x:row r="71">
      <x:c r="A71" s="23" t="str">
        <x:v>W-003</x:v>
      </x:c>
      <x:c r="B71" s="23" t="str">
        <x:v>P-020</x:v>
      </x:c>
      <x:c r="C71" s="23" t="str">
        <x:v>Помидор</x:v>
      </x:c>
      <x:c r="D71" s="26" t="n">
        <x:v>250</x:v>
      </x:c>
      <x:c r="E71" s="26" t="str">
        <x:v>г</x:v>
      </x:c>
      <x:c r="F71" s="26" t="str">
        <x:v>250 г</x:v>
      </x:c>
      <x:c r="G71" s="26" t="n">
        <x:f>IFERROR(D71*'Products'!G24/100,0)</x:f>
        <x:v>50</x:v>
      </x:c>
      <x:c r="H71" s="26" t="n">
        <x:f>D71*'Products'!H24/100</x:f>
        <x:v>45</x:v>
      </x:c>
      <x:c r="I71" s="26" t="n">
        <x:f>D71*'Products'!I24/100</x:f>
        <x:v>2.25</x:v>
      </x:c>
      <x:c r="J71" s="26" t="n">
        <x:f>D71*'Products'!J24/100</x:f>
        <x:v>0.5</x:v>
      </x:c>
      <x:c r="K71" s="26" t="n">
        <x:f>D71*'Products'!K24/100</x:f>
        <x:v>9.75</x:v>
      </x:c>
    </x:row>
    <x:row r="72">
      <x:c r="A72" s="23" t="str">
        <x:v>W-003</x:v>
      </x:c>
      <x:c r="B72" s="23" t="str">
        <x:v>P-015</x:v>
      </x:c>
      <x:c r="C72" s="23" t="str">
        <x:v>Протеиновая тортилья</x:v>
      </x:c>
      <x:c r="D72" s="26" t="n">
        <x:v>250</x:v>
      </x:c>
      <x:c r="E72" s="26" t="str">
        <x:v>г</x:v>
      </x:c>
      <x:c r="F72" s="26" t="str">
        <x:v>250 г</x:v>
      </x:c>
      <x:c r="G72" s="26" t="n">
        <x:f>IFERROR(D72*'Products'!G19/100,0)</x:f>
        <x:v>125</x:v>
      </x:c>
      <x:c r="H72" s="26" t="n">
        <x:f>D72*'Products'!H19/100</x:f>
        <x:v>697.5</x:v>
      </x:c>
      <x:c r="I72" s="26" t="n">
        <x:f>D72*'Products'!I19/100</x:f>
        <x:v>45</x:v>
      </x:c>
      <x:c r="J72" s="26" t="n">
        <x:f>D72*'Products'!J19/100</x:f>
        <x:v>17.5</x:v>
      </x:c>
      <x:c r="K72" s="26" t="n">
        <x:f>D72*'Products'!K19/100</x:f>
        <x:v>92.5</x:v>
      </x:c>
    </x:row>
    <x:row r="73">
      <x:c r="A73" s="23" t="str">
        <x:v>D-001</x:v>
      </x:c>
      <x:c r="B73" s="23" t="str">
        <x:v>P-002</x:v>
      </x:c>
      <x:c r="C73" s="23" t="str">
        <x:v>Творог 0,2% (старый)</x:v>
      </x:c>
      <x:c r="D73" s="26" t="n">
        <x:v>100</x:v>
      </x:c>
      <x:c r="E73" s="26" t="str">
        <x:v>г</x:v>
      </x:c>
      <x:c r="F73" s="26" t="str">
        <x:v>100 г</x:v>
      </x:c>
      <x:c r="G73" s="26" t="n">
        <x:f>IFERROR(D73*'Products'!G6/100,0)</x:f>
        <x:v>40.5</x:v>
      </x:c>
      <x:c r="H73" s="26" t="n">
        <x:f>D73*'Products'!H6/100</x:f>
        <x:v>66</x:v>
      </x:c>
      <x:c r="I73" s="26" t="n">
        <x:f>D73*'Products'!I6/100</x:f>
        <x:v>12</x:v>
      </x:c>
      <x:c r="J73" s="26" t="n">
        <x:f>D73*'Products'!J6/100</x:f>
        <x:v>0.2</x:v>
      </x:c>
      <x:c r="K73" s="26" t="n">
        <x:f>D73*'Products'!K6/100</x:f>
        <x:v>4.1</x:v>
      </x:c>
    </x:row>
    <x:row r="74">
      <x:c r="A74" s="23" t="str">
        <x:v>D-001</x:v>
      </x:c>
      <x:c r="B74" s="23" t="str">
        <x:v>P-006</x:v>
      </x:c>
      <x:c r="C74" s="23" t="str">
        <x:v>Маскарпоне 42,5%</x:v>
      </x:c>
      <x:c r="D74" s="26" t="n">
        <x:v>60</x:v>
      </x:c>
      <x:c r="E74" s="26" t="str">
        <x:v>г</x:v>
      </x:c>
      <x:c r="F74" s="26" t="str">
        <x:v>60 г</x:v>
      </x:c>
      <x:c r="G74" s="26" t="n">
        <x:f>IFERROR(D74*'Products'!G10/100,0)</x:f>
        <x:v>85.63799999999999</x:v>
      </x:c>
      <x:c r="H74" s="26" t="n">
        <x:f>D74*'Products'!H10/100</x:f>
        <x:v>258</x:v>
      </x:c>
      <x:c r="I74" s="26" t="n">
        <x:f>D74*'Products'!I10/100</x:f>
        <x:v>3</x:v>
      </x:c>
      <x:c r="J74" s="26" t="n">
        <x:f>D74*'Products'!J10/100</x:f>
        <x:v>25.5</x:v>
      </x:c>
      <x:c r="K74" s="26" t="n">
        <x:f>D74*'Products'!K10/100</x:f>
        <x:v>2.4</x:v>
      </x:c>
    </x:row>
    <x:row r="75">
      <x:c r="A75" s="23" t="str">
        <x:v>D-001</x:v>
      </x:c>
      <x:c r="B75" s="23" t="str">
        <x:v>P-005</x:v>
      </x:c>
      <x:c r="C75" s="23" t="str">
        <x:v>Греческий йогурт 2%</x:v>
      </x:c>
      <x:c r="D75" s="26" t="n">
        <x:v>40</x:v>
      </x:c>
      <x:c r="E75" s="26" t="str">
        <x:v>г</x:v>
      </x:c>
      <x:c r="F75" s="26" t="str">
        <x:v>2 ст.л.</x:v>
      </x:c>
      <x:c r="G75" s="26" t="n">
        <x:f>IFERROR(D75*'Products'!G9/100,0)</x:f>
        <x:v>8</x:v>
      </x:c>
      <x:c r="H75" s="26" t="n">
        <x:f>D75*'Products'!H9/100</x:f>
        <x:v>29.2</x:v>
      </x:c>
      <x:c r="I75" s="26" t="n">
        <x:f>D75*'Products'!I9/100</x:f>
        <x:v>2</x:v>
      </x:c>
      <x:c r="J75" s="26" t="n">
        <x:f>D75*'Products'!J9/100</x:f>
        <x:v>0.8</x:v>
      </x:c>
      <x:c r="K75" s="26" t="n">
        <x:f>D75*'Products'!K9/100</x:f>
        <x:v>1.6</x:v>
      </x:c>
    </x:row>
    <x:row r="76">
      <x:c r="A76" s="23" t="str">
        <x:v>D-001</x:v>
      </x:c>
      <x:c r="B76" s="23" t="str">
        <x:v>P-025</x:v>
      </x:c>
      <x:c r="C76" s="23" t="str">
        <x:v>Ежевика</x:v>
      </x:c>
      <x:c r="D76" s="26" t="n">
        <x:v>300</x:v>
      </x:c>
      <x:c r="E76" s="26" t="str">
        <x:v>г</x:v>
      </x:c>
      <x:c r="F76" s="26" t="str">
        <x:v>300 г</x:v>
      </x:c>
      <x:c r="G76" s="26" t="n">
        <x:f>IFERROR(D76*'Products'!G29/100,0)</x:f>
        <x:v>257.12999999999994</x:v>
      </x:c>
      <x:c r="H76" s="26" t="n">
        <x:f>D76*'Products'!H29/100</x:f>
        <x:v>129</x:v>
      </x:c>
      <x:c r="I76" s="26" t="n">
        <x:f>D76*'Products'!I29/100</x:f>
        <x:v>4.2</x:v>
      </x:c>
      <x:c r="J76" s="26" t="n">
        <x:f>D76*'Products'!J29/100</x:f>
        <x:v>1.5</x:v>
      </x:c>
      <x:c r="K76" s="26" t="n">
        <x:f>D76*'Products'!K29/100</x:f>
        <x:v>28.8</x:v>
      </x:c>
    </x:row>
    <x:row r="77">
      <x:c r="A77" s="23" t="str">
        <x:v>D-001</x:v>
      </x:c>
      <x:c r="B77" s="23" t="str">
        <x:v>P-026</x:v>
      </x:c>
      <x:c r="C77" s="23" t="str">
        <x:v>Кленовый сироп</x:v>
      </x:c>
      <x:c r="D77" s="26" t="n">
        <x:v>25</x:v>
      </x:c>
      <x:c r="E77" s="26" t="str">
        <x:v>мл</x:v>
      </x:c>
      <x:c r="F77" s="26" t="str">
        <x:v>25 мл</x:v>
      </x:c>
      <x:c r="G77" s="26" t="n">
        <x:f>IFERROR(D77*'Products'!G30/100,0)</x:f>
        <x:v>42.8575</x:v>
      </x:c>
      <x:c r="H77" s="26" t="n">
        <x:f>D77*'Products'!H30/100</x:f>
        <x:v>86</x:v>
      </x:c>
      <x:c r="I77" s="26" t="n">
        <x:f>D77*'Products'!I30/100</x:f>
        <x:v>0</x:v>
      </x:c>
      <x:c r="J77" s="26" t="n">
        <x:f>D77*'Products'!J30/100</x:f>
        <x:v>0</x:v>
      </x:c>
      <x:c r="K77" s="26" t="n">
        <x:f>D77*'Products'!K30/100</x:f>
        <x:v>22.4</x:v>
      </x:c>
    </x:row>
    <x:row r="78">
      <x:c r="A78" s="23" t="str">
        <x:v>D-002</x:v>
      </x:c>
      <x:c r="B78" s="23" t="str">
        <x:v>P-002</x:v>
      </x:c>
      <x:c r="C78" s="23" t="str">
        <x:v>Творог 0,2% (старый)</x:v>
      </x:c>
      <x:c r="D78" s="26" t="n">
        <x:v>150</x:v>
      </x:c>
      <x:c r="E78" s="26" t="str">
        <x:v>г</x:v>
      </x:c>
      <x:c r="F78" s="26" t="str">
        <x:v>3 ст.л. ≈150 г</x:v>
      </x:c>
      <x:c r="G78" s="26" t="n">
        <x:f>IFERROR(D78*'Products'!G6/100,0)</x:f>
        <x:v>60.75</x:v>
      </x:c>
      <x:c r="H78" s="26" t="n">
        <x:f>D78*'Products'!H6/100</x:f>
        <x:v>99</x:v>
      </x:c>
      <x:c r="I78" s="26" t="n">
        <x:f>D78*'Products'!I6/100</x:f>
        <x:v>18</x:v>
      </x:c>
      <x:c r="J78" s="26" t="n">
        <x:f>D78*'Products'!J6/100</x:f>
        <x:v>0.3</x:v>
      </x:c>
      <x:c r="K78" s="26" t="n">
        <x:f>D78*'Products'!K6/100</x:f>
        <x:v>6.15</x:v>
      </x:c>
    </x:row>
    <x:row r="79">
      <x:c r="A79" s="23" t="str">
        <x:v>D-002</x:v>
      </x:c>
      <x:c r="B79" s="23" t="str">
        <x:v>P-004</x:v>
      </x:c>
      <x:c r="C79" s="23" t="str">
        <x:v>Скир</x:v>
      </x:c>
      <x:c r="D79" s="26" t="n">
        <x:v>80</x:v>
      </x:c>
      <x:c r="E79" s="26" t="str">
        <x:v>г</x:v>
      </x:c>
      <x:c r="F79" s="26" t="str">
        <x:v>4 ст.л.</x:v>
      </x:c>
      <x:c r="G79" s="26" t="n">
        <x:f>IFERROR(D79*'Products'!G8/100,0)</x:f>
        <x:v>36.16</x:v>
      </x:c>
      <x:c r="H79" s="26" t="n">
        <x:f>D79*'Products'!H8/100</x:f>
        <x:v>49.6</x:v>
      </x:c>
      <x:c r="I79" s="26" t="n">
        <x:f>D79*'Products'!I8/100</x:f>
        <x:v>8.8</x:v>
      </x:c>
      <x:c r="J79" s="26" t="n">
        <x:f>D79*'Products'!J8/100</x:f>
        <x:v>0.16</x:v>
      </x:c>
      <x:c r="K79" s="26" t="n">
        <x:f>D79*'Products'!K8/100</x:f>
        <x:v>3.2</x:v>
      </x:c>
    </x:row>
    <x:row r="80">
      <x:c r="A80" s="23" t="str">
        <x:v>D-002</x:v>
      </x:c>
      <x:c r="B80" s="23" t="str">
        <x:v>P-006</x:v>
      </x:c>
      <x:c r="C80" s="23" t="str">
        <x:v>Маскарпоне 42,5%</x:v>
      </x:c>
      <x:c r="D80" s="26" t="n">
        <x:v>60</x:v>
      </x:c>
      <x:c r="E80" s="26" t="str">
        <x:v>г</x:v>
      </x:c>
      <x:c r="F80" s="26" t="str">
        <x:v>60 г</x:v>
      </x:c>
      <x:c r="G80" s="26" t="n">
        <x:f>IFERROR(D80*'Products'!G10/100,0)</x:f>
        <x:v>85.63799999999999</x:v>
      </x:c>
      <x:c r="H80" s="26" t="n">
        <x:f>D80*'Products'!H10/100</x:f>
        <x:v>258</x:v>
      </x:c>
      <x:c r="I80" s="26" t="n">
        <x:f>D80*'Products'!I10/100</x:f>
        <x:v>3</x:v>
      </x:c>
      <x:c r="J80" s="26" t="n">
        <x:f>D80*'Products'!J10/100</x:f>
        <x:v>25.5</x:v>
      </x:c>
      <x:c r="K80" s="26" t="n">
        <x:f>D80*'Products'!K10/100</x:f>
        <x:v>2.4</x:v>
      </x:c>
    </x:row>
    <x:row r="81">
      <x:c r="A81" s="23" t="str">
        <x:v>D-002</x:v>
      </x:c>
      <x:c r="B81" s="23" t="str">
        <x:v>P-024</x:v>
      </x:c>
      <x:c r="C81" s="23" t="str">
        <x:v>Голубика</x:v>
      </x:c>
      <x:c r="D81" s="26" t="n">
        <x:v>150</x:v>
      </x:c>
      <x:c r="E81" s="26" t="str">
        <x:v>г</x:v>
      </x:c>
      <x:c r="F81" s="26" t="str">
        <x:v>150 г</x:v>
      </x:c>
      <x:c r="G81" s="26" t="n">
        <x:f>IFERROR(D81*'Products'!G28/100,0)</x:f>
        <x:v>0</x:v>
      </x:c>
      <x:c r="H81" s="26" t="n">
        <x:f>D81*'Products'!H28/100</x:f>
        <x:v>85.5</x:v>
      </x:c>
      <x:c r="I81" s="26" t="n">
        <x:f>D81*'Products'!I28/100</x:f>
        <x:v>1.05</x:v>
      </x:c>
      <x:c r="J81" s="26" t="n">
        <x:f>D81*'Products'!J28/100</x:f>
        <x:v>0.45</x:v>
      </x:c>
      <x:c r="K81" s="26" t="n">
        <x:f>D81*'Products'!K28/100</x:f>
        <x:v>21.75</x:v>
      </x:c>
    </x:row>
    <x:row r="82">
      <x:c r="A82" s="23" t="str">
        <x:v>D-002</x:v>
      </x:c>
      <x:c r="B82" s="23" t="str">
        <x:v>P-026</x:v>
      </x:c>
      <x:c r="C82" s="23" t="str">
        <x:v>Кленовый сироп</x:v>
      </x:c>
      <x:c r="D82" s="26" t="n">
        <x:v>25</x:v>
      </x:c>
      <x:c r="E82" s="26" t="str">
        <x:v>мл</x:v>
      </x:c>
      <x:c r="F82" s="26" t="str">
        <x:v>25 мл</x:v>
      </x:c>
      <x:c r="G82" s="26" t="n">
        <x:f>IFERROR(D82*'Products'!G30/100,0)</x:f>
        <x:v>42.8575</x:v>
      </x:c>
      <x:c r="H82" s="26" t="n">
        <x:f>D82*'Products'!H30/100</x:f>
        <x:v>86</x:v>
      </x:c>
      <x:c r="I82" s="26" t="n">
        <x:f>D82*'Products'!I30/100</x:f>
        <x:v>0</x:v>
      </x:c>
      <x:c r="J82" s="26" t="n">
        <x:f>D82*'Products'!J30/100</x:f>
        <x:v>0</x:v>
      </x:c>
      <x:c r="K82" s="26" t="n">
        <x:f>D82*'Products'!K30/100</x:f>
        <x:v>22.4</x:v>
      </x:c>
    </x:row>
    <x:row r="83">
      <x:c r="A83" s="23" t="str">
        <x:v>G-001</x:v>
      </x:c>
      <x:c r="B83" s="23" t="str">
        <x:v>P-018</x:v>
      </x:c>
      <x:c r="C83" s="23" t="str">
        <x:v>Киноа сухая</x:v>
      </x:c>
      <x:c r="D83" s="26" t="n">
        <x:v>90</x:v>
      </x:c>
      <x:c r="E83" s="26" t="str">
        <x:v>г</x:v>
      </x:c>
      <x:c r="F83" s="26" t="str">
        <x:v>≈90 г сухой</x:v>
      </x:c>
      <x:c r="G83" s="26" t="n">
        <x:f>IFERROR(D83*'Products'!G22/100,0)</x:f>
        <x:v>77.139</x:v>
      </x:c>
      <x:c r="H83" s="26" t="n">
        <x:f>D83*'Products'!H22/100</x:f>
        <x:v>331.2</x:v>
      </x:c>
      <x:c r="I83" s="26" t="n">
        <x:f>D83*'Products'!I22/100</x:f>
        <x:v>12.6</x:v>
      </x:c>
      <x:c r="J83" s="26" t="n">
        <x:f>D83*'Products'!J22/100</x:f>
        <x:v>5.4</x:v>
      </x:c>
      <x:c r="K83" s="26" t="n">
        <x:f>D83*'Products'!K22/100</x:f>
        <x:v>57.6</x:v>
      </x:c>
    </x:row>
    <x:row r="84">
      <x:c r="A84" s="23" t="str">
        <x:v>G-001</x:v>
      </x:c>
      <x:c r="B84" s="23" t="str">
        <x:v>P-027</x:v>
      </x:c>
      <x:c r="C84" s="23" t="str">
        <x:v>Оливковое масло</x:v>
      </x:c>
      <x:c r="D84" s="26" t="n">
        <x:v>5</x:v>
      </x:c>
      <x:c r="E84" s="26" t="str">
        <x:v>мл</x:v>
      </x:c>
      <x:c r="F84" s="26" t="str">
        <x:v>1 ч.л.</x:v>
      </x:c>
      <x:c r="G84" s="26" t="n">
        <x:f>IFERROR(D84*'Products'!G31/100,0)</x:f>
        <x:v>4</x:v>
      </x:c>
      <x:c r="H84" s="26" t="n">
        <x:f>D84*'Products'!H31/100</x:f>
        <x:v>44.2</x:v>
      </x:c>
      <x:c r="I84" s="26" t="n">
        <x:f>D84*'Products'!I31/100</x:f>
        <x:v>0</x:v>
      </x:c>
      <x:c r="J84" s="26" t="n">
        <x:f>D84*'Products'!J31/100</x:f>
        <x:v>5</x:v>
      </x:c>
      <x:c r="K84" s="26" t="n">
        <x:f>D84*'Products'!K31/100</x:f>
        <x:v>0</x:v>
      </x:c>
    </x:row>
    <x:row r="85">
      <x:c r="A85" s="23" t="str">
        <x:v>G-001</x:v>
      </x:c>
      <x:c r="B85" s="23" t="str">
        <x:v>P-020</x:v>
      </x:c>
      <x:c r="C85" s="23" t="str">
        <x:v>Помидор</x:v>
      </x:c>
      <x:c r="D85" s="26" t="n">
        <x:v>300</x:v>
      </x:c>
      <x:c r="E85" s="26" t="str">
        <x:v>г</x:v>
      </x:c>
      <x:c r="F85" s="26" t="str">
        <x:v>300 г</x:v>
      </x:c>
      <x:c r="G85" s="26" t="n">
        <x:f>IFERROR(D85*'Products'!G24/100,0)</x:f>
        <x:v>60</x:v>
      </x:c>
      <x:c r="H85" s="26" t="n">
        <x:f>D85*'Products'!H24/100</x:f>
        <x:v>54</x:v>
      </x:c>
      <x:c r="I85" s="26" t="n">
        <x:f>D85*'Products'!I24/100</x:f>
        <x:v>2.7</x:v>
      </x:c>
      <x:c r="J85" s="26" t="n">
        <x:f>D85*'Products'!J24/100</x:f>
        <x:v>0.6</x:v>
      </x:c>
      <x:c r="K85" s="26" t="n">
        <x:f>D85*'Products'!K24/100</x:f>
        <x:v>11.7</x:v>
      </x:c>
    </x:row>
    <x:row r="86">
      <x:c r="A86" s="23" t="str">
        <x:v>G-001</x:v>
      </x:c>
      <x:c r="B86" s="23" t="str">
        <x:v>P-032</x:v>
      </x:c>
      <x:c r="C86" s="23" t="str">
        <x:v>Укроп / петрушка</x:v>
      </x:c>
      <x:c r="D86" s="26" t="n">
        <x:v>10</x:v>
      </x:c>
      <x:c r="E86" s="26" t="str">
        <x:v>г</x:v>
      </x:c>
      <x:c r="F86" s="26" t="str">
        <x:v>10 г</x:v>
      </x:c>
      <x:c r="G86" s="26" t="n">
        <x:f>IFERROR(D86*'Products'!G36/100,0)</x:f>
        <x:v>55</x:v>
      </x:c>
      <x:c r="H86" s="26" t="n">
        <x:f>D86*'Products'!H36/100</x:f>
        <x:v>3.6</x:v>
      </x:c>
      <x:c r="I86" s="26" t="n">
        <x:f>D86*'Products'!I36/100</x:f>
        <x:v>0.3</x:v>
      </x:c>
      <x:c r="J86" s="26" t="n">
        <x:f>D86*'Products'!J36/100</x:f>
        <x:v>0.08</x:v>
      </x:c>
      <x:c r="K86" s="26" t="n">
        <x:f>D86*'Products'!K36/100</x:f>
        <x:v>0.6</x:v>
      </x:c>
    </x:row>
    <x:row r="87">
      <x:c r="A87" s="23" t="str">
        <x:v>SN-001</x:v>
      </x:c>
      <x:c r="B87" s="23" t="str">
        <x:v>P-034</x:v>
      </x:c>
      <x:c r="C87" s="23" t="str">
        <x:v>Фруктово-протеиновый снек</x:v>
      </x:c>
      <x:c r="D87" s="26" t="n">
        <x:v>1</x:v>
      </x:c>
      <x:c r="E87" s="26" t="str">
        <x:v>шт</x:v>
      </x:c>
      <x:c r="F87" s="26" t="str">
        <x:v>1 шт</x:v>
      </x:c>
      <x:c r="G87" s="26" t="n">
        <x:f>IFERROR(D87*'Products'!G38/1,0)</x:f>
        <x:v>170</x:v>
      </x:c>
      <x:c r="H87" s="26" t="n">
        <x:f>D87*'Products'!H38/1</x:f>
        <x:v>199</x:v>
      </x:c>
      <x:c r="I87" s="26" t="n">
        <x:f>D87*'Products'!I38/1</x:f>
        <x:v>20</x:v>
      </x:c>
      <x:c r="J87" s="26" t="n">
        <x:f>D87*'Products'!J38/1</x:f>
        <x:v>3</x:v>
      </x:c>
      <x:c r="K87" s="26" t="n">
        <x:f>D87*'Products'!K38/1</x:f>
        <x:v>23</x:v>
      </x:c>
    </x:row>
    <x:row r="88">
      <x:c r="A88" s="24" t="str">
        <x:v>DR-001</x:v>
      </x:c>
      <x:c r="B88" s="24" t="str">
        <x:v>P-035</x:v>
      </x:c>
      <x:c r="C88" s="24" t="str">
        <x:v>Протеиновый холодный чай</x:v>
      </x:c>
      <x:c r="D88" s="27" t="n">
        <x:v>1</x:v>
      </x:c>
      <x:c r="E88" s="27" t="str">
        <x:v>бут.</x:v>
      </x:c>
      <x:c r="F88" s="27" t="str">
        <x:v>1 бутылка 500 мл</x:v>
      </x:c>
      <x:c r="G88" s="27" t="n">
        <x:f>IFERROR(D88*'Products'!G39/1,0)</x:f>
        <x:v>0</x:v>
      </x:c>
      <x:c r="H88" s="27" t="n">
        <x:f>D88*'Products'!H39/1</x:f>
        <x:v>80</x:v>
      </x:c>
      <x:c r="I88" s="27" t="n">
        <x:f>D88*'Products'!I39/1</x:f>
        <x:v>20</x:v>
      </x:c>
      <x:c r="J88" s="27" t="n">
        <x:f>D88*'Products'!J39/1</x:f>
        <x:v>0</x:v>
      </x:c>
      <x:c r="K88" s="27" t="n">
        <x:f>D88*'Products'!K39/1</x:f>
        <x:v>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6c6833df02d4f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2" hidden="0" customWidth="1"/>
    <x:col min="4" max="4" width="34" hidden="0" customWidth="1"/>
    <x:col min="5" max="5" width="10" hidden="0" customWidth="1"/>
    <x:col min="6" max="6" width="11" hidden="0" customWidth="1"/>
    <x:col min="7" max="7" width="11" hidden="0" customWidth="1"/>
    <x:col min="8" max="8" width="11" hidden="0" customWidth="1"/>
    <x:col min="9" max="9" width="13" hidden="0" customWidth="1"/>
    <x:col min="10" max="10" width="17" hidden="0" customWidth="1"/>
    <x:col min="11" max="11" width="30" hidden="0" customWidth="1"/>
  </x:cols>
  <x:sheetData>
    <x:row r="1" ht="34" customHeight="1">
      <x:c r="A1" s="3" t="str">
        <x:v>Food Diary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6" t="str">
        <x:v>Выберите Recipe ID и количество порций — КБЖУ и стоимость подтянутся автоматически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24" customHeight="1">
      <x:c r="A4" s="15" t="str">
        <x:v>Дата</x:v>
      </x:c>
      <x:c r="B4" s="16" t="str">
        <x:v>Прием пищи</x:v>
      </x:c>
      <x:c r="C4" s="16" t="str">
        <x:v>Recipe ID</x:v>
      </x:c>
      <x:c r="D4" s="16" t="str">
        <x:v>Блюдо</x:v>
      </x:c>
      <x:c r="E4" s="16" t="str">
        <x:v>Порций</x:v>
      </x:c>
      <x:c r="F4" s="16" t="str">
        <x:v>Ккал</x:v>
      </x:c>
      <x:c r="G4" s="16" t="str">
        <x:v>Белки</x:v>
      </x:c>
      <x:c r="H4" s="16" t="str">
        <x:v>Жиры</x:v>
      </x:c>
      <x:c r="I4" s="16" t="str">
        <x:v>Углеводы</x:v>
      </x:c>
      <x:c r="J4" s="16" t="str">
        <x:v>Стоимость, дин</x:v>
      </x:c>
      <x:c r="K4" s="17" t="str">
        <x:v>Комментарий</x:v>
      </x:c>
    </x:row>
    <x:row r="5">
      <x:c r="A5" s="28"/>
      <x:c r="B5" s="22"/>
      <x:c r="C5" s="22"/>
      <x:c r="D5" s="22" t="str">
        <x:f>IFERROR(VLOOKUP(C5,'Recipes'!$A$5:$P$100,2,FALSE),"")</x:f>
      </x:c>
      <x:c r="E5" s="25"/>
      <x:c r="F5" s="25" t="n">
        <x:f>IFERROR(E5*VLOOKUP(C5,'Recipes'!$A$5:$P$100,15,FALSE),0)</x:f>
        <x:v>0</x:v>
      </x:c>
      <x:c r="G5" s="25" t="n">
        <x:f>IFERROR(E5*VLOOKUP(C5,'Recipes'!$A$5:$P$100,12,FALSE)/VLOOKUP(C5,'Recipes'!$A$5:$P$100,7,FALSE),0)</x:f>
        <x:v>0</x:v>
      </x:c>
      <x:c r="H5" s="25" t="n">
        <x:f>IFERROR(E5*VLOOKUP(C5,'Recipes'!$A$5:$P$100,13,FALSE)/VLOOKUP(C5,'Recipes'!$A$5:$P$100,7,FALSE),0)</x:f>
        <x:v>0</x:v>
      </x:c>
      <x:c r="I5" s="25" t="n">
        <x:f>IFERROR(E5*VLOOKUP(C5,'Recipes'!$A$5:$P$100,14,FALSE)/VLOOKUP(C5,'Recipes'!$A$5:$P$100,7,FALSE),0)</x:f>
        <x:v>0</x:v>
      </x:c>
      <x:c r="J5" s="25" t="n">
        <x:f>IFERROR(E5*VLOOKUP(C5,'Recipes'!$A$5:$P$100,10,FALSE),0)</x:f>
        <x:v>0</x:v>
      </x:c>
      <x:c r="K5" s="22"/>
    </x:row>
    <x:row r="6">
      <x:c r="A6" s="29"/>
      <x:c r="B6" s="23"/>
      <x:c r="C6" s="23"/>
      <x:c r="D6" s="23" t="str">
        <x:f>IFERROR(VLOOKUP(C6,'Recipes'!$A$5:$P$100,2,FALSE),"")</x:f>
      </x:c>
      <x:c r="E6" s="26"/>
      <x:c r="F6" s="26" t="n">
        <x:f>IFERROR(E6*VLOOKUP(C6,'Recipes'!$A$5:$P$100,15,FALSE),0)</x:f>
        <x:v>0</x:v>
      </x:c>
      <x:c r="G6" s="26" t="n">
        <x:f>IFERROR(E6*VLOOKUP(C6,'Recipes'!$A$5:$P$100,12,FALSE)/VLOOKUP(C6,'Recipes'!$A$5:$P$100,7,FALSE),0)</x:f>
        <x:v>0</x:v>
      </x:c>
      <x:c r="H6" s="26" t="n">
        <x:f>IFERROR(E6*VLOOKUP(C6,'Recipes'!$A$5:$P$100,13,FALSE)/VLOOKUP(C6,'Recipes'!$A$5:$P$100,7,FALSE),0)</x:f>
        <x:v>0</x:v>
      </x:c>
      <x:c r="I6" s="26" t="n">
        <x:f>IFERROR(E6*VLOOKUP(C6,'Recipes'!$A$5:$P$100,14,FALSE)/VLOOKUP(C6,'Recipes'!$A$5:$P$100,7,FALSE),0)</x:f>
        <x:v>0</x:v>
      </x:c>
      <x:c r="J6" s="26" t="n">
        <x:f>IFERROR(E6*VLOOKUP(C6,'Recipes'!$A$5:$P$100,10,FALSE),0)</x:f>
        <x:v>0</x:v>
      </x:c>
      <x:c r="K6" s="23"/>
    </x:row>
    <x:row r="7">
      <x:c r="A7" s="29"/>
      <x:c r="B7" s="23"/>
      <x:c r="C7" s="23"/>
      <x:c r="D7" s="23" t="str">
        <x:f>IFERROR(VLOOKUP(C7,'Recipes'!$A$5:$P$100,2,FALSE),"")</x:f>
      </x:c>
      <x:c r="E7" s="26"/>
      <x:c r="F7" s="26" t="n">
        <x:f>IFERROR(E7*VLOOKUP(C7,'Recipes'!$A$5:$P$100,15,FALSE),0)</x:f>
        <x:v>0</x:v>
      </x:c>
      <x:c r="G7" s="26" t="n">
        <x:f>IFERROR(E7*VLOOKUP(C7,'Recipes'!$A$5:$P$100,12,FALSE)/VLOOKUP(C7,'Recipes'!$A$5:$P$100,7,FALSE),0)</x:f>
        <x:v>0</x:v>
      </x:c>
      <x:c r="H7" s="26" t="n">
        <x:f>IFERROR(E7*VLOOKUP(C7,'Recipes'!$A$5:$P$100,13,FALSE)/VLOOKUP(C7,'Recipes'!$A$5:$P$100,7,FALSE),0)</x:f>
        <x:v>0</x:v>
      </x:c>
      <x:c r="I7" s="26" t="n">
        <x:f>IFERROR(E7*VLOOKUP(C7,'Recipes'!$A$5:$P$100,14,FALSE)/VLOOKUP(C7,'Recipes'!$A$5:$P$100,7,FALSE),0)</x:f>
        <x:v>0</x:v>
      </x:c>
      <x:c r="J7" s="26" t="n">
        <x:f>IFERROR(E7*VLOOKUP(C7,'Recipes'!$A$5:$P$100,10,FALSE),0)</x:f>
        <x:v>0</x:v>
      </x:c>
      <x:c r="K7" s="23"/>
    </x:row>
    <x:row r="8">
      <x:c r="A8" s="29"/>
      <x:c r="B8" s="23"/>
      <x:c r="C8" s="23"/>
      <x:c r="D8" s="23" t="str">
        <x:f>IFERROR(VLOOKUP(C8,'Recipes'!$A$5:$P$100,2,FALSE),"")</x:f>
      </x:c>
      <x:c r="E8" s="26"/>
      <x:c r="F8" s="26" t="n">
        <x:f>IFERROR(E8*VLOOKUP(C8,'Recipes'!$A$5:$P$100,15,FALSE),0)</x:f>
        <x:v>0</x:v>
      </x:c>
      <x:c r="G8" s="26" t="n">
        <x:f>IFERROR(E8*VLOOKUP(C8,'Recipes'!$A$5:$P$100,12,FALSE)/VLOOKUP(C8,'Recipes'!$A$5:$P$100,7,FALSE),0)</x:f>
        <x:v>0</x:v>
      </x:c>
      <x:c r="H8" s="26" t="n">
        <x:f>IFERROR(E8*VLOOKUP(C8,'Recipes'!$A$5:$P$100,13,FALSE)/VLOOKUP(C8,'Recipes'!$A$5:$P$100,7,FALSE),0)</x:f>
        <x:v>0</x:v>
      </x:c>
      <x:c r="I8" s="26" t="n">
        <x:f>IFERROR(E8*VLOOKUP(C8,'Recipes'!$A$5:$P$100,14,FALSE)/VLOOKUP(C8,'Recipes'!$A$5:$P$100,7,FALSE),0)</x:f>
        <x:v>0</x:v>
      </x:c>
      <x:c r="J8" s="26" t="n">
        <x:f>IFERROR(E8*VLOOKUP(C8,'Recipes'!$A$5:$P$100,10,FALSE),0)</x:f>
        <x:v>0</x:v>
      </x:c>
      <x:c r="K8" s="23"/>
    </x:row>
    <x:row r="9">
      <x:c r="A9" s="29"/>
      <x:c r="B9" s="23"/>
      <x:c r="C9" s="23"/>
      <x:c r="D9" s="23" t="str">
        <x:f>IFERROR(VLOOKUP(C9,'Recipes'!$A$5:$P$100,2,FALSE),"")</x:f>
      </x:c>
      <x:c r="E9" s="26"/>
      <x:c r="F9" s="26" t="n">
        <x:f>IFERROR(E9*VLOOKUP(C9,'Recipes'!$A$5:$P$100,15,FALSE),0)</x:f>
        <x:v>0</x:v>
      </x:c>
      <x:c r="G9" s="26" t="n">
        <x:f>IFERROR(E9*VLOOKUP(C9,'Recipes'!$A$5:$P$100,12,FALSE)/VLOOKUP(C9,'Recipes'!$A$5:$P$100,7,FALSE),0)</x:f>
        <x:v>0</x:v>
      </x:c>
      <x:c r="H9" s="26" t="n">
        <x:f>IFERROR(E9*VLOOKUP(C9,'Recipes'!$A$5:$P$100,13,FALSE)/VLOOKUP(C9,'Recipes'!$A$5:$P$100,7,FALSE),0)</x:f>
        <x:v>0</x:v>
      </x:c>
      <x:c r="I9" s="26" t="n">
        <x:f>IFERROR(E9*VLOOKUP(C9,'Recipes'!$A$5:$P$100,14,FALSE)/VLOOKUP(C9,'Recipes'!$A$5:$P$100,7,FALSE),0)</x:f>
        <x:v>0</x:v>
      </x:c>
      <x:c r="J9" s="26" t="n">
        <x:f>IFERROR(E9*VLOOKUP(C9,'Recipes'!$A$5:$P$100,10,FALSE),0)</x:f>
        <x:v>0</x:v>
      </x:c>
      <x:c r="K9" s="23"/>
    </x:row>
    <x:row r="10">
      <x:c r="A10" s="29"/>
      <x:c r="B10" s="23"/>
      <x:c r="C10" s="23"/>
      <x:c r="D10" s="23" t="str">
        <x:f>IFERROR(VLOOKUP(C10,'Recipes'!$A$5:$P$100,2,FALSE),"")</x:f>
      </x:c>
      <x:c r="E10" s="26"/>
      <x:c r="F10" s="26" t="n">
        <x:f>IFERROR(E10*VLOOKUP(C10,'Recipes'!$A$5:$P$100,15,FALSE),0)</x:f>
        <x:v>0</x:v>
      </x:c>
      <x:c r="G10" s="26" t="n">
        <x:f>IFERROR(E10*VLOOKUP(C10,'Recipes'!$A$5:$P$100,12,FALSE)/VLOOKUP(C10,'Recipes'!$A$5:$P$100,7,FALSE),0)</x:f>
        <x:v>0</x:v>
      </x:c>
      <x:c r="H10" s="26" t="n">
        <x:f>IFERROR(E10*VLOOKUP(C10,'Recipes'!$A$5:$P$100,13,FALSE)/VLOOKUP(C10,'Recipes'!$A$5:$P$100,7,FALSE),0)</x:f>
        <x:v>0</x:v>
      </x:c>
      <x:c r="I10" s="26" t="n">
        <x:f>IFERROR(E10*VLOOKUP(C10,'Recipes'!$A$5:$P$100,14,FALSE)/VLOOKUP(C10,'Recipes'!$A$5:$P$100,7,FALSE),0)</x:f>
        <x:v>0</x:v>
      </x:c>
      <x:c r="J10" s="26" t="n">
        <x:f>IFERROR(E10*VLOOKUP(C10,'Recipes'!$A$5:$P$100,10,FALSE),0)</x:f>
        <x:v>0</x:v>
      </x:c>
      <x:c r="K10" s="23"/>
    </x:row>
    <x:row r="11">
      <x:c r="A11" s="29"/>
      <x:c r="B11" s="23"/>
      <x:c r="C11" s="23"/>
      <x:c r="D11" s="23" t="str">
        <x:f>IFERROR(VLOOKUP(C11,'Recipes'!$A$5:$P$100,2,FALSE),"")</x:f>
      </x:c>
      <x:c r="E11" s="26"/>
      <x:c r="F11" s="26" t="n">
        <x:f>IFERROR(E11*VLOOKUP(C11,'Recipes'!$A$5:$P$100,15,FALSE),0)</x:f>
        <x:v>0</x:v>
      </x:c>
      <x:c r="G11" s="26" t="n">
        <x:f>IFERROR(E11*VLOOKUP(C11,'Recipes'!$A$5:$P$100,12,FALSE)/VLOOKUP(C11,'Recipes'!$A$5:$P$100,7,FALSE),0)</x:f>
        <x:v>0</x:v>
      </x:c>
      <x:c r="H11" s="26" t="n">
        <x:f>IFERROR(E11*VLOOKUP(C11,'Recipes'!$A$5:$P$100,13,FALSE)/VLOOKUP(C11,'Recipes'!$A$5:$P$100,7,FALSE),0)</x:f>
        <x:v>0</x:v>
      </x:c>
      <x:c r="I11" s="26" t="n">
        <x:f>IFERROR(E11*VLOOKUP(C11,'Recipes'!$A$5:$P$100,14,FALSE)/VLOOKUP(C11,'Recipes'!$A$5:$P$100,7,FALSE),0)</x:f>
        <x:v>0</x:v>
      </x:c>
      <x:c r="J11" s="26" t="n">
        <x:f>IFERROR(E11*VLOOKUP(C11,'Recipes'!$A$5:$P$100,10,FALSE),0)</x:f>
        <x:v>0</x:v>
      </x:c>
      <x:c r="K11" s="23"/>
    </x:row>
    <x:row r="12">
      <x:c r="A12" s="29"/>
      <x:c r="B12" s="23"/>
      <x:c r="C12" s="23"/>
      <x:c r="D12" s="23" t="str">
        <x:f>IFERROR(VLOOKUP(C12,'Recipes'!$A$5:$P$100,2,FALSE),"")</x:f>
      </x:c>
      <x:c r="E12" s="26"/>
      <x:c r="F12" s="26" t="n">
        <x:f>IFERROR(E12*VLOOKUP(C12,'Recipes'!$A$5:$P$100,15,FALSE),0)</x:f>
        <x:v>0</x:v>
      </x:c>
      <x:c r="G12" s="26" t="n">
        <x:f>IFERROR(E12*VLOOKUP(C12,'Recipes'!$A$5:$P$100,12,FALSE)/VLOOKUP(C12,'Recipes'!$A$5:$P$100,7,FALSE),0)</x:f>
        <x:v>0</x:v>
      </x:c>
      <x:c r="H12" s="26" t="n">
        <x:f>IFERROR(E12*VLOOKUP(C12,'Recipes'!$A$5:$P$100,13,FALSE)/VLOOKUP(C12,'Recipes'!$A$5:$P$100,7,FALSE),0)</x:f>
        <x:v>0</x:v>
      </x:c>
      <x:c r="I12" s="26" t="n">
        <x:f>IFERROR(E12*VLOOKUP(C12,'Recipes'!$A$5:$P$100,14,FALSE)/VLOOKUP(C12,'Recipes'!$A$5:$P$100,7,FALSE),0)</x:f>
        <x:v>0</x:v>
      </x:c>
      <x:c r="J12" s="26" t="n">
        <x:f>IFERROR(E12*VLOOKUP(C12,'Recipes'!$A$5:$P$100,10,FALSE),0)</x:f>
        <x:v>0</x:v>
      </x:c>
      <x:c r="K12" s="23"/>
    </x:row>
    <x:row r="13">
      <x:c r="A13" s="29"/>
      <x:c r="B13" s="23"/>
      <x:c r="C13" s="23"/>
      <x:c r="D13" s="23" t="str">
        <x:f>IFERROR(VLOOKUP(C13,'Recipes'!$A$5:$P$100,2,FALSE),"")</x:f>
      </x:c>
      <x:c r="E13" s="26"/>
      <x:c r="F13" s="26" t="n">
        <x:f>IFERROR(E13*VLOOKUP(C13,'Recipes'!$A$5:$P$100,15,FALSE),0)</x:f>
        <x:v>0</x:v>
      </x:c>
      <x:c r="G13" s="26" t="n">
        <x:f>IFERROR(E13*VLOOKUP(C13,'Recipes'!$A$5:$P$100,12,FALSE)/VLOOKUP(C13,'Recipes'!$A$5:$P$100,7,FALSE),0)</x:f>
        <x:v>0</x:v>
      </x:c>
      <x:c r="H13" s="26" t="n">
        <x:f>IFERROR(E13*VLOOKUP(C13,'Recipes'!$A$5:$P$100,13,FALSE)/VLOOKUP(C13,'Recipes'!$A$5:$P$100,7,FALSE),0)</x:f>
        <x:v>0</x:v>
      </x:c>
      <x:c r="I13" s="26" t="n">
        <x:f>IFERROR(E13*VLOOKUP(C13,'Recipes'!$A$5:$P$100,14,FALSE)/VLOOKUP(C13,'Recipes'!$A$5:$P$100,7,FALSE),0)</x:f>
        <x:v>0</x:v>
      </x:c>
      <x:c r="J13" s="26" t="n">
        <x:f>IFERROR(E13*VLOOKUP(C13,'Recipes'!$A$5:$P$100,10,FALSE),0)</x:f>
        <x:v>0</x:v>
      </x:c>
      <x:c r="K13" s="23"/>
    </x:row>
    <x:row r="14">
      <x:c r="A14" s="29"/>
      <x:c r="B14" s="23"/>
      <x:c r="C14" s="23"/>
      <x:c r="D14" s="23" t="str">
        <x:f>IFERROR(VLOOKUP(C14,'Recipes'!$A$5:$P$100,2,FALSE),"")</x:f>
      </x:c>
      <x:c r="E14" s="26"/>
      <x:c r="F14" s="26" t="n">
        <x:f>IFERROR(E14*VLOOKUP(C14,'Recipes'!$A$5:$P$100,15,FALSE),0)</x:f>
        <x:v>0</x:v>
      </x:c>
      <x:c r="G14" s="26" t="n">
        <x:f>IFERROR(E14*VLOOKUP(C14,'Recipes'!$A$5:$P$100,12,FALSE)/VLOOKUP(C14,'Recipes'!$A$5:$P$100,7,FALSE),0)</x:f>
        <x:v>0</x:v>
      </x:c>
      <x:c r="H14" s="26" t="n">
        <x:f>IFERROR(E14*VLOOKUP(C14,'Recipes'!$A$5:$P$100,13,FALSE)/VLOOKUP(C14,'Recipes'!$A$5:$P$100,7,FALSE),0)</x:f>
        <x:v>0</x:v>
      </x:c>
      <x:c r="I14" s="26" t="n">
        <x:f>IFERROR(E14*VLOOKUP(C14,'Recipes'!$A$5:$P$100,14,FALSE)/VLOOKUP(C14,'Recipes'!$A$5:$P$100,7,FALSE),0)</x:f>
        <x:v>0</x:v>
      </x:c>
      <x:c r="J14" s="26" t="n">
        <x:f>IFERROR(E14*VLOOKUP(C14,'Recipes'!$A$5:$P$100,10,FALSE),0)</x:f>
        <x:v>0</x:v>
      </x:c>
      <x:c r="K14" s="23"/>
    </x:row>
    <x:row r="15">
      <x:c r="A15" s="29"/>
      <x:c r="B15" s="23"/>
      <x:c r="C15" s="23"/>
      <x:c r="D15" s="23" t="str">
        <x:f>IFERROR(VLOOKUP(C15,'Recipes'!$A$5:$P$100,2,FALSE),"")</x:f>
      </x:c>
      <x:c r="E15" s="26"/>
      <x:c r="F15" s="26" t="n">
        <x:f>IFERROR(E15*VLOOKUP(C15,'Recipes'!$A$5:$P$100,15,FALSE),0)</x:f>
        <x:v>0</x:v>
      </x:c>
      <x:c r="G15" s="26" t="n">
        <x:f>IFERROR(E15*VLOOKUP(C15,'Recipes'!$A$5:$P$100,12,FALSE)/VLOOKUP(C15,'Recipes'!$A$5:$P$100,7,FALSE),0)</x:f>
        <x:v>0</x:v>
      </x:c>
      <x:c r="H15" s="26" t="n">
        <x:f>IFERROR(E15*VLOOKUP(C15,'Recipes'!$A$5:$P$100,13,FALSE)/VLOOKUP(C15,'Recipes'!$A$5:$P$100,7,FALSE),0)</x:f>
        <x:v>0</x:v>
      </x:c>
      <x:c r="I15" s="26" t="n">
        <x:f>IFERROR(E15*VLOOKUP(C15,'Recipes'!$A$5:$P$100,14,FALSE)/VLOOKUP(C15,'Recipes'!$A$5:$P$100,7,FALSE),0)</x:f>
        <x:v>0</x:v>
      </x:c>
      <x:c r="J15" s="26" t="n">
        <x:f>IFERROR(E15*VLOOKUP(C15,'Recipes'!$A$5:$P$100,10,FALSE),0)</x:f>
        <x:v>0</x:v>
      </x:c>
      <x:c r="K15" s="23"/>
    </x:row>
    <x:row r="16">
      <x:c r="A16" s="29"/>
      <x:c r="B16" s="23"/>
      <x:c r="C16" s="23"/>
      <x:c r="D16" s="23" t="str">
        <x:f>IFERROR(VLOOKUP(C16,'Recipes'!$A$5:$P$100,2,FALSE),"")</x:f>
      </x:c>
      <x:c r="E16" s="26"/>
      <x:c r="F16" s="26" t="n">
        <x:f>IFERROR(E16*VLOOKUP(C16,'Recipes'!$A$5:$P$100,15,FALSE),0)</x:f>
        <x:v>0</x:v>
      </x:c>
      <x:c r="G16" s="26" t="n">
        <x:f>IFERROR(E16*VLOOKUP(C16,'Recipes'!$A$5:$P$100,12,FALSE)/VLOOKUP(C16,'Recipes'!$A$5:$P$100,7,FALSE),0)</x:f>
        <x:v>0</x:v>
      </x:c>
      <x:c r="H16" s="26" t="n">
        <x:f>IFERROR(E16*VLOOKUP(C16,'Recipes'!$A$5:$P$100,13,FALSE)/VLOOKUP(C16,'Recipes'!$A$5:$P$100,7,FALSE),0)</x:f>
        <x:v>0</x:v>
      </x:c>
      <x:c r="I16" s="26" t="n">
        <x:f>IFERROR(E16*VLOOKUP(C16,'Recipes'!$A$5:$P$100,14,FALSE)/VLOOKUP(C16,'Recipes'!$A$5:$P$100,7,FALSE),0)</x:f>
        <x:v>0</x:v>
      </x:c>
      <x:c r="J16" s="26" t="n">
        <x:f>IFERROR(E16*VLOOKUP(C16,'Recipes'!$A$5:$P$100,10,FALSE),0)</x:f>
        <x:v>0</x:v>
      </x:c>
      <x:c r="K16" s="23"/>
    </x:row>
    <x:row r="17">
      <x:c r="A17" s="29"/>
      <x:c r="B17" s="23"/>
      <x:c r="C17" s="23"/>
      <x:c r="D17" s="23" t="str">
        <x:f>IFERROR(VLOOKUP(C17,'Recipes'!$A$5:$P$100,2,FALSE),"")</x:f>
      </x:c>
      <x:c r="E17" s="26"/>
      <x:c r="F17" s="26" t="n">
        <x:f>IFERROR(E17*VLOOKUP(C17,'Recipes'!$A$5:$P$100,15,FALSE),0)</x:f>
        <x:v>0</x:v>
      </x:c>
      <x:c r="G17" s="26" t="n">
        <x:f>IFERROR(E17*VLOOKUP(C17,'Recipes'!$A$5:$P$100,12,FALSE)/VLOOKUP(C17,'Recipes'!$A$5:$P$100,7,FALSE),0)</x:f>
        <x:v>0</x:v>
      </x:c>
      <x:c r="H17" s="26" t="n">
        <x:f>IFERROR(E17*VLOOKUP(C17,'Recipes'!$A$5:$P$100,13,FALSE)/VLOOKUP(C17,'Recipes'!$A$5:$P$100,7,FALSE),0)</x:f>
        <x:v>0</x:v>
      </x:c>
      <x:c r="I17" s="26" t="n">
        <x:f>IFERROR(E17*VLOOKUP(C17,'Recipes'!$A$5:$P$100,14,FALSE)/VLOOKUP(C17,'Recipes'!$A$5:$P$100,7,FALSE),0)</x:f>
        <x:v>0</x:v>
      </x:c>
      <x:c r="J17" s="26" t="n">
        <x:f>IFERROR(E17*VLOOKUP(C17,'Recipes'!$A$5:$P$100,10,FALSE),0)</x:f>
        <x:v>0</x:v>
      </x:c>
      <x:c r="K17" s="23"/>
    </x:row>
    <x:row r="18">
      <x:c r="A18" s="29"/>
      <x:c r="B18" s="23"/>
      <x:c r="C18" s="23"/>
      <x:c r="D18" s="23" t="str">
        <x:f>IFERROR(VLOOKUP(C18,'Recipes'!$A$5:$P$100,2,FALSE),"")</x:f>
      </x:c>
      <x:c r="E18" s="26"/>
      <x:c r="F18" s="26" t="n">
        <x:f>IFERROR(E18*VLOOKUP(C18,'Recipes'!$A$5:$P$100,15,FALSE),0)</x:f>
        <x:v>0</x:v>
      </x:c>
      <x:c r="G18" s="26" t="n">
        <x:f>IFERROR(E18*VLOOKUP(C18,'Recipes'!$A$5:$P$100,12,FALSE)/VLOOKUP(C18,'Recipes'!$A$5:$P$100,7,FALSE),0)</x:f>
        <x:v>0</x:v>
      </x:c>
      <x:c r="H18" s="26" t="n">
        <x:f>IFERROR(E18*VLOOKUP(C18,'Recipes'!$A$5:$P$100,13,FALSE)/VLOOKUP(C18,'Recipes'!$A$5:$P$100,7,FALSE),0)</x:f>
        <x:v>0</x:v>
      </x:c>
      <x:c r="I18" s="26" t="n">
        <x:f>IFERROR(E18*VLOOKUP(C18,'Recipes'!$A$5:$P$100,14,FALSE)/VLOOKUP(C18,'Recipes'!$A$5:$P$100,7,FALSE),0)</x:f>
        <x:v>0</x:v>
      </x:c>
      <x:c r="J18" s="26" t="n">
        <x:f>IFERROR(E18*VLOOKUP(C18,'Recipes'!$A$5:$P$100,10,FALSE),0)</x:f>
        <x:v>0</x:v>
      </x:c>
      <x:c r="K18" s="23"/>
    </x:row>
    <x:row r="19">
      <x:c r="A19" s="29"/>
      <x:c r="B19" s="23"/>
      <x:c r="C19" s="23"/>
      <x:c r="D19" s="23" t="str">
        <x:f>IFERROR(VLOOKUP(C19,'Recipes'!$A$5:$P$100,2,FALSE),"")</x:f>
      </x:c>
      <x:c r="E19" s="26"/>
      <x:c r="F19" s="26" t="n">
        <x:f>IFERROR(E19*VLOOKUP(C19,'Recipes'!$A$5:$P$100,15,FALSE),0)</x:f>
        <x:v>0</x:v>
      </x:c>
      <x:c r="G19" s="26" t="n">
        <x:f>IFERROR(E19*VLOOKUP(C19,'Recipes'!$A$5:$P$100,12,FALSE)/VLOOKUP(C19,'Recipes'!$A$5:$P$100,7,FALSE),0)</x:f>
        <x:v>0</x:v>
      </x:c>
      <x:c r="H19" s="26" t="n">
        <x:f>IFERROR(E19*VLOOKUP(C19,'Recipes'!$A$5:$P$100,13,FALSE)/VLOOKUP(C19,'Recipes'!$A$5:$P$100,7,FALSE),0)</x:f>
        <x:v>0</x:v>
      </x:c>
      <x:c r="I19" s="26" t="n">
        <x:f>IFERROR(E19*VLOOKUP(C19,'Recipes'!$A$5:$P$100,14,FALSE)/VLOOKUP(C19,'Recipes'!$A$5:$P$100,7,FALSE),0)</x:f>
        <x:v>0</x:v>
      </x:c>
      <x:c r="J19" s="26" t="n">
        <x:f>IFERROR(E19*VLOOKUP(C19,'Recipes'!$A$5:$P$100,10,FALSE),0)</x:f>
        <x:v>0</x:v>
      </x:c>
      <x:c r="K19" s="23"/>
    </x:row>
    <x:row r="20">
      <x:c r="A20" s="29"/>
      <x:c r="B20" s="23"/>
      <x:c r="C20" s="23"/>
      <x:c r="D20" s="23" t="str">
        <x:f>IFERROR(VLOOKUP(C20,'Recipes'!$A$5:$P$100,2,FALSE),"")</x:f>
      </x:c>
      <x:c r="E20" s="26"/>
      <x:c r="F20" s="26" t="n">
        <x:f>IFERROR(E20*VLOOKUP(C20,'Recipes'!$A$5:$P$100,15,FALSE),0)</x:f>
        <x:v>0</x:v>
      </x:c>
      <x:c r="G20" s="26" t="n">
        <x:f>IFERROR(E20*VLOOKUP(C20,'Recipes'!$A$5:$P$100,12,FALSE)/VLOOKUP(C20,'Recipes'!$A$5:$P$100,7,FALSE),0)</x:f>
        <x:v>0</x:v>
      </x:c>
      <x:c r="H20" s="26" t="n">
        <x:f>IFERROR(E20*VLOOKUP(C20,'Recipes'!$A$5:$P$100,13,FALSE)/VLOOKUP(C20,'Recipes'!$A$5:$P$100,7,FALSE),0)</x:f>
        <x:v>0</x:v>
      </x:c>
      <x:c r="I20" s="26" t="n">
        <x:f>IFERROR(E20*VLOOKUP(C20,'Recipes'!$A$5:$P$100,14,FALSE)/VLOOKUP(C20,'Recipes'!$A$5:$P$100,7,FALSE),0)</x:f>
        <x:v>0</x:v>
      </x:c>
      <x:c r="J20" s="26" t="n">
        <x:f>IFERROR(E20*VLOOKUP(C20,'Recipes'!$A$5:$P$100,10,FALSE),0)</x:f>
        <x:v>0</x:v>
      </x:c>
      <x:c r="K20" s="23"/>
    </x:row>
    <x:row r="21">
      <x:c r="A21" s="29"/>
      <x:c r="B21" s="23"/>
      <x:c r="C21" s="23"/>
      <x:c r="D21" s="23" t="str">
        <x:f>IFERROR(VLOOKUP(C21,'Recipes'!$A$5:$P$100,2,FALSE),"")</x:f>
      </x:c>
      <x:c r="E21" s="26"/>
      <x:c r="F21" s="26" t="n">
        <x:f>IFERROR(E21*VLOOKUP(C21,'Recipes'!$A$5:$P$100,15,FALSE),0)</x:f>
        <x:v>0</x:v>
      </x:c>
      <x:c r="G21" s="26" t="n">
        <x:f>IFERROR(E21*VLOOKUP(C21,'Recipes'!$A$5:$P$100,12,FALSE)/VLOOKUP(C21,'Recipes'!$A$5:$P$100,7,FALSE),0)</x:f>
        <x:v>0</x:v>
      </x:c>
      <x:c r="H21" s="26" t="n">
        <x:f>IFERROR(E21*VLOOKUP(C21,'Recipes'!$A$5:$P$100,13,FALSE)/VLOOKUP(C21,'Recipes'!$A$5:$P$100,7,FALSE),0)</x:f>
        <x:v>0</x:v>
      </x:c>
      <x:c r="I21" s="26" t="n">
        <x:f>IFERROR(E21*VLOOKUP(C21,'Recipes'!$A$5:$P$100,14,FALSE)/VLOOKUP(C21,'Recipes'!$A$5:$P$100,7,FALSE),0)</x:f>
        <x:v>0</x:v>
      </x:c>
      <x:c r="J21" s="26" t="n">
        <x:f>IFERROR(E21*VLOOKUP(C21,'Recipes'!$A$5:$P$100,10,FALSE),0)</x:f>
        <x:v>0</x:v>
      </x:c>
      <x:c r="K21" s="23"/>
    </x:row>
    <x:row r="22">
      <x:c r="A22" s="29"/>
      <x:c r="B22" s="23"/>
      <x:c r="C22" s="23"/>
      <x:c r="D22" s="23" t="str">
        <x:f>IFERROR(VLOOKUP(C22,'Recipes'!$A$5:$P$100,2,FALSE),"")</x:f>
      </x:c>
      <x:c r="E22" s="26"/>
      <x:c r="F22" s="26" t="n">
        <x:f>IFERROR(E22*VLOOKUP(C22,'Recipes'!$A$5:$P$100,15,FALSE),0)</x:f>
        <x:v>0</x:v>
      </x:c>
      <x:c r="G22" s="26" t="n">
        <x:f>IFERROR(E22*VLOOKUP(C22,'Recipes'!$A$5:$P$100,12,FALSE)/VLOOKUP(C22,'Recipes'!$A$5:$P$100,7,FALSE),0)</x:f>
        <x:v>0</x:v>
      </x:c>
      <x:c r="H22" s="26" t="n">
        <x:f>IFERROR(E22*VLOOKUP(C22,'Recipes'!$A$5:$P$100,13,FALSE)/VLOOKUP(C22,'Recipes'!$A$5:$P$100,7,FALSE),0)</x:f>
        <x:v>0</x:v>
      </x:c>
      <x:c r="I22" s="26" t="n">
        <x:f>IFERROR(E22*VLOOKUP(C22,'Recipes'!$A$5:$P$100,14,FALSE)/VLOOKUP(C22,'Recipes'!$A$5:$P$100,7,FALSE),0)</x:f>
        <x:v>0</x:v>
      </x:c>
      <x:c r="J22" s="26" t="n">
        <x:f>IFERROR(E22*VLOOKUP(C22,'Recipes'!$A$5:$P$100,10,FALSE),0)</x:f>
        <x:v>0</x:v>
      </x:c>
      <x:c r="K22" s="23"/>
    </x:row>
    <x:row r="23">
      <x:c r="A23" s="29"/>
      <x:c r="B23" s="23"/>
      <x:c r="C23" s="23"/>
      <x:c r="D23" s="23" t="str">
        <x:f>IFERROR(VLOOKUP(C23,'Recipes'!$A$5:$P$100,2,FALSE),"")</x:f>
      </x:c>
      <x:c r="E23" s="26"/>
      <x:c r="F23" s="26" t="n">
        <x:f>IFERROR(E23*VLOOKUP(C23,'Recipes'!$A$5:$P$100,15,FALSE),0)</x:f>
        <x:v>0</x:v>
      </x:c>
      <x:c r="G23" s="26" t="n">
        <x:f>IFERROR(E23*VLOOKUP(C23,'Recipes'!$A$5:$P$100,12,FALSE)/VLOOKUP(C23,'Recipes'!$A$5:$P$100,7,FALSE),0)</x:f>
        <x:v>0</x:v>
      </x:c>
      <x:c r="H23" s="26" t="n">
        <x:f>IFERROR(E23*VLOOKUP(C23,'Recipes'!$A$5:$P$100,13,FALSE)/VLOOKUP(C23,'Recipes'!$A$5:$P$100,7,FALSE),0)</x:f>
        <x:v>0</x:v>
      </x:c>
      <x:c r="I23" s="26" t="n">
        <x:f>IFERROR(E23*VLOOKUP(C23,'Recipes'!$A$5:$P$100,14,FALSE)/VLOOKUP(C23,'Recipes'!$A$5:$P$100,7,FALSE),0)</x:f>
        <x:v>0</x:v>
      </x:c>
      <x:c r="J23" s="26" t="n">
        <x:f>IFERROR(E23*VLOOKUP(C23,'Recipes'!$A$5:$P$100,10,FALSE),0)</x:f>
        <x:v>0</x:v>
      </x:c>
      <x:c r="K23" s="23"/>
    </x:row>
    <x:row r="24">
      <x:c r="A24" s="29"/>
      <x:c r="B24" s="23"/>
      <x:c r="C24" s="23"/>
      <x:c r="D24" s="23" t="str">
        <x:f>IFERROR(VLOOKUP(C24,'Recipes'!$A$5:$P$100,2,FALSE),"")</x:f>
      </x:c>
      <x:c r="E24" s="26"/>
      <x:c r="F24" s="26" t="n">
        <x:f>IFERROR(E24*VLOOKUP(C24,'Recipes'!$A$5:$P$100,15,FALSE),0)</x:f>
        <x:v>0</x:v>
      </x:c>
      <x:c r="G24" s="26" t="n">
        <x:f>IFERROR(E24*VLOOKUP(C24,'Recipes'!$A$5:$P$100,12,FALSE)/VLOOKUP(C24,'Recipes'!$A$5:$P$100,7,FALSE),0)</x:f>
        <x:v>0</x:v>
      </x:c>
      <x:c r="H24" s="26" t="n">
        <x:f>IFERROR(E24*VLOOKUP(C24,'Recipes'!$A$5:$P$100,13,FALSE)/VLOOKUP(C24,'Recipes'!$A$5:$P$100,7,FALSE),0)</x:f>
        <x:v>0</x:v>
      </x:c>
      <x:c r="I24" s="26" t="n">
        <x:f>IFERROR(E24*VLOOKUP(C24,'Recipes'!$A$5:$P$100,14,FALSE)/VLOOKUP(C24,'Recipes'!$A$5:$P$100,7,FALSE),0)</x:f>
        <x:v>0</x:v>
      </x:c>
      <x:c r="J24" s="26" t="n">
        <x:f>IFERROR(E24*VLOOKUP(C24,'Recipes'!$A$5:$P$100,10,FALSE),0)</x:f>
        <x:v>0</x:v>
      </x:c>
      <x:c r="K24" s="23"/>
    </x:row>
    <x:row r="25">
      <x:c r="A25" s="29"/>
      <x:c r="B25" s="23"/>
      <x:c r="C25" s="23"/>
      <x:c r="D25" s="23" t="str">
        <x:f>IFERROR(VLOOKUP(C25,'Recipes'!$A$5:$P$100,2,FALSE),"")</x:f>
      </x:c>
      <x:c r="E25" s="26"/>
      <x:c r="F25" s="26" t="n">
        <x:f>IFERROR(E25*VLOOKUP(C25,'Recipes'!$A$5:$P$100,15,FALSE),0)</x:f>
        <x:v>0</x:v>
      </x:c>
      <x:c r="G25" s="26" t="n">
        <x:f>IFERROR(E25*VLOOKUP(C25,'Recipes'!$A$5:$P$100,12,FALSE)/VLOOKUP(C25,'Recipes'!$A$5:$P$100,7,FALSE),0)</x:f>
        <x:v>0</x:v>
      </x:c>
      <x:c r="H25" s="26" t="n">
        <x:f>IFERROR(E25*VLOOKUP(C25,'Recipes'!$A$5:$P$100,13,FALSE)/VLOOKUP(C25,'Recipes'!$A$5:$P$100,7,FALSE),0)</x:f>
        <x:v>0</x:v>
      </x:c>
      <x:c r="I25" s="26" t="n">
        <x:f>IFERROR(E25*VLOOKUP(C25,'Recipes'!$A$5:$P$100,14,FALSE)/VLOOKUP(C25,'Recipes'!$A$5:$P$100,7,FALSE),0)</x:f>
        <x:v>0</x:v>
      </x:c>
      <x:c r="J25" s="26" t="n">
        <x:f>IFERROR(E25*VLOOKUP(C25,'Recipes'!$A$5:$P$100,10,FALSE),0)</x:f>
        <x:v>0</x:v>
      </x:c>
      <x:c r="K25" s="23"/>
    </x:row>
    <x:row r="26">
      <x:c r="A26" s="29"/>
      <x:c r="B26" s="23"/>
      <x:c r="C26" s="23"/>
      <x:c r="D26" s="23" t="str">
        <x:f>IFERROR(VLOOKUP(C26,'Recipes'!$A$5:$P$100,2,FALSE),"")</x:f>
      </x:c>
      <x:c r="E26" s="26"/>
      <x:c r="F26" s="26" t="n">
        <x:f>IFERROR(E26*VLOOKUP(C26,'Recipes'!$A$5:$P$100,15,FALSE),0)</x:f>
        <x:v>0</x:v>
      </x:c>
      <x:c r="G26" s="26" t="n">
        <x:f>IFERROR(E26*VLOOKUP(C26,'Recipes'!$A$5:$P$100,12,FALSE)/VLOOKUP(C26,'Recipes'!$A$5:$P$100,7,FALSE),0)</x:f>
        <x:v>0</x:v>
      </x:c>
      <x:c r="H26" s="26" t="n">
        <x:f>IFERROR(E26*VLOOKUP(C26,'Recipes'!$A$5:$P$100,13,FALSE)/VLOOKUP(C26,'Recipes'!$A$5:$P$100,7,FALSE),0)</x:f>
        <x:v>0</x:v>
      </x:c>
      <x:c r="I26" s="26" t="n">
        <x:f>IFERROR(E26*VLOOKUP(C26,'Recipes'!$A$5:$P$100,14,FALSE)/VLOOKUP(C26,'Recipes'!$A$5:$P$100,7,FALSE),0)</x:f>
        <x:v>0</x:v>
      </x:c>
      <x:c r="J26" s="26" t="n">
        <x:f>IFERROR(E26*VLOOKUP(C26,'Recipes'!$A$5:$P$100,10,FALSE),0)</x:f>
        <x:v>0</x:v>
      </x:c>
      <x:c r="K26" s="23"/>
    </x:row>
    <x:row r="27">
      <x:c r="A27" s="29"/>
      <x:c r="B27" s="23"/>
      <x:c r="C27" s="23"/>
      <x:c r="D27" s="23" t="str">
        <x:f>IFERROR(VLOOKUP(C27,'Recipes'!$A$5:$P$100,2,FALSE),"")</x:f>
      </x:c>
      <x:c r="E27" s="26"/>
      <x:c r="F27" s="26" t="n">
        <x:f>IFERROR(E27*VLOOKUP(C27,'Recipes'!$A$5:$P$100,15,FALSE),0)</x:f>
        <x:v>0</x:v>
      </x:c>
      <x:c r="G27" s="26" t="n">
        <x:f>IFERROR(E27*VLOOKUP(C27,'Recipes'!$A$5:$P$100,12,FALSE)/VLOOKUP(C27,'Recipes'!$A$5:$P$100,7,FALSE),0)</x:f>
        <x:v>0</x:v>
      </x:c>
      <x:c r="H27" s="26" t="n">
        <x:f>IFERROR(E27*VLOOKUP(C27,'Recipes'!$A$5:$P$100,13,FALSE)/VLOOKUP(C27,'Recipes'!$A$5:$P$100,7,FALSE),0)</x:f>
        <x:v>0</x:v>
      </x:c>
      <x:c r="I27" s="26" t="n">
        <x:f>IFERROR(E27*VLOOKUP(C27,'Recipes'!$A$5:$P$100,14,FALSE)/VLOOKUP(C27,'Recipes'!$A$5:$P$100,7,FALSE),0)</x:f>
        <x:v>0</x:v>
      </x:c>
      <x:c r="J27" s="26" t="n">
        <x:f>IFERROR(E27*VLOOKUP(C27,'Recipes'!$A$5:$P$100,10,FALSE),0)</x:f>
        <x:v>0</x:v>
      </x:c>
      <x:c r="K27" s="23"/>
    </x:row>
    <x:row r="28">
      <x:c r="A28" s="29"/>
      <x:c r="B28" s="23"/>
      <x:c r="C28" s="23"/>
      <x:c r="D28" s="23" t="str">
        <x:f>IFERROR(VLOOKUP(C28,'Recipes'!$A$5:$P$100,2,FALSE),"")</x:f>
      </x:c>
      <x:c r="E28" s="26"/>
      <x:c r="F28" s="26" t="n">
        <x:f>IFERROR(E28*VLOOKUP(C28,'Recipes'!$A$5:$P$100,15,FALSE),0)</x:f>
        <x:v>0</x:v>
      </x:c>
      <x:c r="G28" s="26" t="n">
        <x:f>IFERROR(E28*VLOOKUP(C28,'Recipes'!$A$5:$P$100,12,FALSE)/VLOOKUP(C28,'Recipes'!$A$5:$P$100,7,FALSE),0)</x:f>
        <x:v>0</x:v>
      </x:c>
      <x:c r="H28" s="26" t="n">
        <x:f>IFERROR(E28*VLOOKUP(C28,'Recipes'!$A$5:$P$100,13,FALSE)/VLOOKUP(C28,'Recipes'!$A$5:$P$100,7,FALSE),0)</x:f>
        <x:v>0</x:v>
      </x:c>
      <x:c r="I28" s="26" t="n">
        <x:f>IFERROR(E28*VLOOKUP(C28,'Recipes'!$A$5:$P$100,14,FALSE)/VLOOKUP(C28,'Recipes'!$A$5:$P$100,7,FALSE),0)</x:f>
        <x:v>0</x:v>
      </x:c>
      <x:c r="J28" s="26" t="n">
        <x:f>IFERROR(E28*VLOOKUP(C28,'Recipes'!$A$5:$P$100,10,FALSE),0)</x:f>
        <x:v>0</x:v>
      </x:c>
      <x:c r="K28" s="23"/>
    </x:row>
    <x:row r="29">
      <x:c r="A29" s="29"/>
      <x:c r="B29" s="23"/>
      <x:c r="C29" s="23"/>
      <x:c r="D29" s="23" t="str">
        <x:f>IFERROR(VLOOKUP(C29,'Recipes'!$A$5:$P$100,2,FALSE),"")</x:f>
      </x:c>
      <x:c r="E29" s="26"/>
      <x:c r="F29" s="26" t="n">
        <x:f>IFERROR(E29*VLOOKUP(C29,'Recipes'!$A$5:$P$100,15,FALSE),0)</x:f>
        <x:v>0</x:v>
      </x:c>
      <x:c r="G29" s="26" t="n">
        <x:f>IFERROR(E29*VLOOKUP(C29,'Recipes'!$A$5:$P$100,12,FALSE)/VLOOKUP(C29,'Recipes'!$A$5:$P$100,7,FALSE),0)</x:f>
        <x:v>0</x:v>
      </x:c>
      <x:c r="H29" s="26" t="n">
        <x:f>IFERROR(E29*VLOOKUP(C29,'Recipes'!$A$5:$P$100,13,FALSE)/VLOOKUP(C29,'Recipes'!$A$5:$P$100,7,FALSE),0)</x:f>
        <x:v>0</x:v>
      </x:c>
      <x:c r="I29" s="26" t="n">
        <x:f>IFERROR(E29*VLOOKUP(C29,'Recipes'!$A$5:$P$100,14,FALSE)/VLOOKUP(C29,'Recipes'!$A$5:$P$100,7,FALSE),0)</x:f>
        <x:v>0</x:v>
      </x:c>
      <x:c r="J29" s="26" t="n">
        <x:f>IFERROR(E29*VLOOKUP(C29,'Recipes'!$A$5:$P$100,10,FALSE),0)</x:f>
        <x:v>0</x:v>
      </x:c>
      <x:c r="K29" s="23"/>
    </x:row>
    <x:row r="30">
      <x:c r="A30" s="29"/>
      <x:c r="B30" s="23"/>
      <x:c r="C30" s="23"/>
      <x:c r="D30" s="23" t="str">
        <x:f>IFERROR(VLOOKUP(C30,'Recipes'!$A$5:$P$100,2,FALSE),"")</x:f>
      </x:c>
      <x:c r="E30" s="26"/>
      <x:c r="F30" s="26" t="n">
        <x:f>IFERROR(E30*VLOOKUP(C30,'Recipes'!$A$5:$P$100,15,FALSE),0)</x:f>
        <x:v>0</x:v>
      </x:c>
      <x:c r="G30" s="26" t="n">
        <x:f>IFERROR(E30*VLOOKUP(C30,'Recipes'!$A$5:$P$100,12,FALSE)/VLOOKUP(C30,'Recipes'!$A$5:$P$100,7,FALSE),0)</x:f>
        <x:v>0</x:v>
      </x:c>
      <x:c r="H30" s="26" t="n">
        <x:f>IFERROR(E30*VLOOKUP(C30,'Recipes'!$A$5:$P$100,13,FALSE)/VLOOKUP(C30,'Recipes'!$A$5:$P$100,7,FALSE),0)</x:f>
        <x:v>0</x:v>
      </x:c>
      <x:c r="I30" s="26" t="n">
        <x:f>IFERROR(E30*VLOOKUP(C30,'Recipes'!$A$5:$P$100,14,FALSE)/VLOOKUP(C30,'Recipes'!$A$5:$P$100,7,FALSE),0)</x:f>
        <x:v>0</x:v>
      </x:c>
      <x:c r="J30" s="26" t="n">
        <x:f>IFERROR(E30*VLOOKUP(C30,'Recipes'!$A$5:$P$100,10,FALSE),0)</x:f>
        <x:v>0</x:v>
      </x:c>
      <x:c r="K30" s="23"/>
    </x:row>
    <x:row r="31">
      <x:c r="A31" s="29"/>
      <x:c r="B31" s="23"/>
      <x:c r="C31" s="23"/>
      <x:c r="D31" s="23" t="str">
        <x:f>IFERROR(VLOOKUP(C31,'Recipes'!$A$5:$P$100,2,FALSE),"")</x:f>
      </x:c>
      <x:c r="E31" s="26"/>
      <x:c r="F31" s="26" t="n">
        <x:f>IFERROR(E31*VLOOKUP(C31,'Recipes'!$A$5:$P$100,15,FALSE),0)</x:f>
        <x:v>0</x:v>
      </x:c>
      <x:c r="G31" s="26" t="n">
        <x:f>IFERROR(E31*VLOOKUP(C31,'Recipes'!$A$5:$P$100,12,FALSE)/VLOOKUP(C31,'Recipes'!$A$5:$P$100,7,FALSE),0)</x:f>
        <x:v>0</x:v>
      </x:c>
      <x:c r="H31" s="26" t="n">
        <x:f>IFERROR(E31*VLOOKUP(C31,'Recipes'!$A$5:$P$100,13,FALSE)/VLOOKUP(C31,'Recipes'!$A$5:$P$100,7,FALSE),0)</x:f>
        <x:v>0</x:v>
      </x:c>
      <x:c r="I31" s="26" t="n">
        <x:f>IFERROR(E31*VLOOKUP(C31,'Recipes'!$A$5:$P$100,14,FALSE)/VLOOKUP(C31,'Recipes'!$A$5:$P$100,7,FALSE),0)</x:f>
        <x:v>0</x:v>
      </x:c>
      <x:c r="J31" s="26" t="n">
        <x:f>IFERROR(E31*VLOOKUP(C31,'Recipes'!$A$5:$P$100,10,FALSE),0)</x:f>
        <x:v>0</x:v>
      </x:c>
      <x:c r="K31" s="23"/>
    </x:row>
    <x:row r="32">
      <x:c r="A32" s="29"/>
      <x:c r="B32" s="23"/>
      <x:c r="C32" s="23"/>
      <x:c r="D32" s="23" t="str">
        <x:f>IFERROR(VLOOKUP(C32,'Recipes'!$A$5:$P$100,2,FALSE),"")</x:f>
      </x:c>
      <x:c r="E32" s="26"/>
      <x:c r="F32" s="26" t="n">
        <x:f>IFERROR(E32*VLOOKUP(C32,'Recipes'!$A$5:$P$100,15,FALSE),0)</x:f>
        <x:v>0</x:v>
      </x:c>
      <x:c r="G32" s="26" t="n">
        <x:f>IFERROR(E32*VLOOKUP(C32,'Recipes'!$A$5:$P$100,12,FALSE)/VLOOKUP(C32,'Recipes'!$A$5:$P$100,7,FALSE),0)</x:f>
        <x:v>0</x:v>
      </x:c>
      <x:c r="H32" s="26" t="n">
        <x:f>IFERROR(E32*VLOOKUP(C32,'Recipes'!$A$5:$P$100,13,FALSE)/VLOOKUP(C32,'Recipes'!$A$5:$P$100,7,FALSE),0)</x:f>
        <x:v>0</x:v>
      </x:c>
      <x:c r="I32" s="26" t="n">
        <x:f>IFERROR(E32*VLOOKUP(C32,'Recipes'!$A$5:$P$100,14,FALSE)/VLOOKUP(C32,'Recipes'!$A$5:$P$100,7,FALSE),0)</x:f>
        <x:v>0</x:v>
      </x:c>
      <x:c r="J32" s="26" t="n">
        <x:f>IFERROR(E32*VLOOKUP(C32,'Recipes'!$A$5:$P$100,10,FALSE),0)</x:f>
        <x:v>0</x:v>
      </x:c>
      <x:c r="K32" s="23"/>
    </x:row>
    <x:row r="33">
      <x:c r="A33" s="29"/>
      <x:c r="B33" s="23"/>
      <x:c r="C33" s="23"/>
      <x:c r="D33" s="23" t="str">
        <x:f>IFERROR(VLOOKUP(C33,'Recipes'!$A$5:$P$100,2,FALSE),"")</x:f>
      </x:c>
      <x:c r="E33" s="26"/>
      <x:c r="F33" s="26" t="n">
        <x:f>IFERROR(E33*VLOOKUP(C33,'Recipes'!$A$5:$P$100,15,FALSE),0)</x:f>
        <x:v>0</x:v>
      </x:c>
      <x:c r="G33" s="26" t="n">
        <x:f>IFERROR(E33*VLOOKUP(C33,'Recipes'!$A$5:$P$100,12,FALSE)/VLOOKUP(C33,'Recipes'!$A$5:$P$100,7,FALSE),0)</x:f>
        <x:v>0</x:v>
      </x:c>
      <x:c r="H33" s="26" t="n">
        <x:f>IFERROR(E33*VLOOKUP(C33,'Recipes'!$A$5:$P$100,13,FALSE)/VLOOKUP(C33,'Recipes'!$A$5:$P$100,7,FALSE),0)</x:f>
        <x:v>0</x:v>
      </x:c>
      <x:c r="I33" s="26" t="n">
        <x:f>IFERROR(E33*VLOOKUP(C33,'Recipes'!$A$5:$P$100,14,FALSE)/VLOOKUP(C33,'Recipes'!$A$5:$P$100,7,FALSE),0)</x:f>
        <x:v>0</x:v>
      </x:c>
      <x:c r="J33" s="26" t="n">
        <x:f>IFERROR(E33*VLOOKUP(C33,'Recipes'!$A$5:$P$100,10,FALSE),0)</x:f>
        <x:v>0</x:v>
      </x:c>
      <x:c r="K33" s="23"/>
    </x:row>
    <x:row r="34">
      <x:c r="A34" s="29"/>
      <x:c r="B34" s="23"/>
      <x:c r="C34" s="23"/>
      <x:c r="D34" s="23" t="str">
        <x:f>IFERROR(VLOOKUP(C34,'Recipes'!$A$5:$P$100,2,FALSE),"")</x:f>
      </x:c>
      <x:c r="E34" s="26"/>
      <x:c r="F34" s="26" t="n">
        <x:f>IFERROR(E34*VLOOKUP(C34,'Recipes'!$A$5:$P$100,15,FALSE),0)</x:f>
        <x:v>0</x:v>
      </x:c>
      <x:c r="G34" s="26" t="n">
        <x:f>IFERROR(E34*VLOOKUP(C34,'Recipes'!$A$5:$P$100,12,FALSE)/VLOOKUP(C34,'Recipes'!$A$5:$P$100,7,FALSE),0)</x:f>
        <x:v>0</x:v>
      </x:c>
      <x:c r="H34" s="26" t="n">
        <x:f>IFERROR(E34*VLOOKUP(C34,'Recipes'!$A$5:$P$100,13,FALSE)/VLOOKUP(C34,'Recipes'!$A$5:$P$100,7,FALSE),0)</x:f>
        <x:v>0</x:v>
      </x:c>
      <x:c r="I34" s="26" t="n">
        <x:f>IFERROR(E34*VLOOKUP(C34,'Recipes'!$A$5:$P$100,14,FALSE)/VLOOKUP(C34,'Recipes'!$A$5:$P$100,7,FALSE),0)</x:f>
        <x:v>0</x:v>
      </x:c>
      <x:c r="J34" s="26" t="n">
        <x:f>IFERROR(E34*VLOOKUP(C34,'Recipes'!$A$5:$P$100,10,FALSE),0)</x:f>
        <x:v>0</x:v>
      </x:c>
      <x:c r="K34" s="23"/>
    </x:row>
    <x:row r="35">
      <x:c r="A35" s="29"/>
      <x:c r="B35" s="23"/>
      <x:c r="C35" s="23"/>
      <x:c r="D35" s="23" t="str">
        <x:f>IFERROR(VLOOKUP(C35,'Recipes'!$A$5:$P$100,2,FALSE),"")</x:f>
      </x:c>
      <x:c r="E35" s="26"/>
      <x:c r="F35" s="26" t="n">
        <x:f>IFERROR(E35*VLOOKUP(C35,'Recipes'!$A$5:$P$100,15,FALSE),0)</x:f>
        <x:v>0</x:v>
      </x:c>
      <x:c r="G35" s="26" t="n">
        <x:f>IFERROR(E35*VLOOKUP(C35,'Recipes'!$A$5:$P$100,12,FALSE)/VLOOKUP(C35,'Recipes'!$A$5:$P$100,7,FALSE),0)</x:f>
        <x:v>0</x:v>
      </x:c>
      <x:c r="H35" s="26" t="n">
        <x:f>IFERROR(E35*VLOOKUP(C35,'Recipes'!$A$5:$P$100,13,FALSE)/VLOOKUP(C35,'Recipes'!$A$5:$P$100,7,FALSE),0)</x:f>
        <x:v>0</x:v>
      </x:c>
      <x:c r="I35" s="26" t="n">
        <x:f>IFERROR(E35*VLOOKUP(C35,'Recipes'!$A$5:$P$100,14,FALSE)/VLOOKUP(C35,'Recipes'!$A$5:$P$100,7,FALSE),0)</x:f>
        <x:v>0</x:v>
      </x:c>
      <x:c r="J35" s="26" t="n">
        <x:f>IFERROR(E35*VLOOKUP(C35,'Recipes'!$A$5:$P$100,10,FALSE),0)</x:f>
        <x:v>0</x:v>
      </x:c>
      <x:c r="K35" s="23"/>
    </x:row>
    <x:row r="36">
      <x:c r="A36" s="29"/>
      <x:c r="B36" s="23"/>
      <x:c r="C36" s="23"/>
      <x:c r="D36" s="23" t="str">
        <x:f>IFERROR(VLOOKUP(C36,'Recipes'!$A$5:$P$100,2,FALSE),"")</x:f>
      </x:c>
      <x:c r="E36" s="26"/>
      <x:c r="F36" s="26" t="n">
        <x:f>IFERROR(E36*VLOOKUP(C36,'Recipes'!$A$5:$P$100,15,FALSE),0)</x:f>
        <x:v>0</x:v>
      </x:c>
      <x:c r="G36" s="26" t="n">
        <x:f>IFERROR(E36*VLOOKUP(C36,'Recipes'!$A$5:$P$100,12,FALSE)/VLOOKUP(C36,'Recipes'!$A$5:$P$100,7,FALSE),0)</x:f>
        <x:v>0</x:v>
      </x:c>
      <x:c r="H36" s="26" t="n">
        <x:f>IFERROR(E36*VLOOKUP(C36,'Recipes'!$A$5:$P$100,13,FALSE)/VLOOKUP(C36,'Recipes'!$A$5:$P$100,7,FALSE),0)</x:f>
        <x:v>0</x:v>
      </x:c>
      <x:c r="I36" s="26" t="n">
        <x:f>IFERROR(E36*VLOOKUP(C36,'Recipes'!$A$5:$P$100,14,FALSE)/VLOOKUP(C36,'Recipes'!$A$5:$P$100,7,FALSE),0)</x:f>
        <x:v>0</x:v>
      </x:c>
      <x:c r="J36" s="26" t="n">
        <x:f>IFERROR(E36*VLOOKUP(C36,'Recipes'!$A$5:$P$100,10,FALSE),0)</x:f>
        <x:v>0</x:v>
      </x:c>
      <x:c r="K36" s="23"/>
    </x:row>
    <x:row r="37">
      <x:c r="A37" s="29"/>
      <x:c r="B37" s="23"/>
      <x:c r="C37" s="23"/>
      <x:c r="D37" s="23" t="str">
        <x:f>IFERROR(VLOOKUP(C37,'Recipes'!$A$5:$P$100,2,FALSE),"")</x:f>
      </x:c>
      <x:c r="E37" s="26"/>
      <x:c r="F37" s="26" t="n">
        <x:f>IFERROR(E37*VLOOKUP(C37,'Recipes'!$A$5:$P$100,15,FALSE),0)</x:f>
        <x:v>0</x:v>
      </x:c>
      <x:c r="G37" s="26" t="n">
        <x:f>IFERROR(E37*VLOOKUP(C37,'Recipes'!$A$5:$P$100,12,FALSE)/VLOOKUP(C37,'Recipes'!$A$5:$P$100,7,FALSE),0)</x:f>
        <x:v>0</x:v>
      </x:c>
      <x:c r="H37" s="26" t="n">
        <x:f>IFERROR(E37*VLOOKUP(C37,'Recipes'!$A$5:$P$100,13,FALSE)/VLOOKUP(C37,'Recipes'!$A$5:$P$100,7,FALSE),0)</x:f>
        <x:v>0</x:v>
      </x:c>
      <x:c r="I37" s="26" t="n">
        <x:f>IFERROR(E37*VLOOKUP(C37,'Recipes'!$A$5:$P$100,14,FALSE)/VLOOKUP(C37,'Recipes'!$A$5:$P$100,7,FALSE),0)</x:f>
        <x:v>0</x:v>
      </x:c>
      <x:c r="J37" s="26" t="n">
        <x:f>IFERROR(E37*VLOOKUP(C37,'Recipes'!$A$5:$P$100,10,FALSE),0)</x:f>
        <x:v>0</x:v>
      </x:c>
      <x:c r="K37" s="23"/>
    </x:row>
    <x:row r="38">
      <x:c r="A38" s="29"/>
      <x:c r="B38" s="23"/>
      <x:c r="C38" s="23"/>
      <x:c r="D38" s="23" t="str">
        <x:f>IFERROR(VLOOKUP(C38,'Recipes'!$A$5:$P$100,2,FALSE),"")</x:f>
      </x:c>
      <x:c r="E38" s="26"/>
      <x:c r="F38" s="26" t="n">
        <x:f>IFERROR(E38*VLOOKUP(C38,'Recipes'!$A$5:$P$100,15,FALSE),0)</x:f>
        <x:v>0</x:v>
      </x:c>
      <x:c r="G38" s="26" t="n">
        <x:f>IFERROR(E38*VLOOKUP(C38,'Recipes'!$A$5:$P$100,12,FALSE)/VLOOKUP(C38,'Recipes'!$A$5:$P$100,7,FALSE),0)</x:f>
        <x:v>0</x:v>
      </x:c>
      <x:c r="H38" s="26" t="n">
        <x:f>IFERROR(E38*VLOOKUP(C38,'Recipes'!$A$5:$P$100,13,FALSE)/VLOOKUP(C38,'Recipes'!$A$5:$P$100,7,FALSE),0)</x:f>
        <x:v>0</x:v>
      </x:c>
      <x:c r="I38" s="26" t="n">
        <x:f>IFERROR(E38*VLOOKUP(C38,'Recipes'!$A$5:$P$100,14,FALSE)/VLOOKUP(C38,'Recipes'!$A$5:$P$100,7,FALSE),0)</x:f>
        <x:v>0</x:v>
      </x:c>
      <x:c r="J38" s="26" t="n">
        <x:f>IFERROR(E38*VLOOKUP(C38,'Recipes'!$A$5:$P$100,10,FALSE),0)</x:f>
        <x:v>0</x:v>
      </x:c>
      <x:c r="K38" s="23"/>
    </x:row>
    <x:row r="39">
      <x:c r="A39" s="29"/>
      <x:c r="B39" s="23"/>
      <x:c r="C39" s="23"/>
      <x:c r="D39" s="23" t="str">
        <x:f>IFERROR(VLOOKUP(C39,'Recipes'!$A$5:$P$100,2,FALSE),"")</x:f>
      </x:c>
      <x:c r="E39" s="26"/>
      <x:c r="F39" s="26" t="n">
        <x:f>IFERROR(E39*VLOOKUP(C39,'Recipes'!$A$5:$P$100,15,FALSE),0)</x:f>
        <x:v>0</x:v>
      </x:c>
      <x:c r="G39" s="26" t="n">
        <x:f>IFERROR(E39*VLOOKUP(C39,'Recipes'!$A$5:$P$100,12,FALSE)/VLOOKUP(C39,'Recipes'!$A$5:$P$100,7,FALSE),0)</x:f>
        <x:v>0</x:v>
      </x:c>
      <x:c r="H39" s="26" t="n">
        <x:f>IFERROR(E39*VLOOKUP(C39,'Recipes'!$A$5:$P$100,13,FALSE)/VLOOKUP(C39,'Recipes'!$A$5:$P$100,7,FALSE),0)</x:f>
        <x:v>0</x:v>
      </x:c>
      <x:c r="I39" s="26" t="n">
        <x:f>IFERROR(E39*VLOOKUP(C39,'Recipes'!$A$5:$P$100,14,FALSE)/VLOOKUP(C39,'Recipes'!$A$5:$P$100,7,FALSE),0)</x:f>
        <x:v>0</x:v>
      </x:c>
      <x:c r="J39" s="26" t="n">
        <x:f>IFERROR(E39*VLOOKUP(C39,'Recipes'!$A$5:$P$100,10,FALSE),0)</x:f>
        <x:v>0</x:v>
      </x:c>
      <x:c r="K39" s="23"/>
    </x:row>
    <x:row r="40">
      <x:c r="A40" s="29"/>
      <x:c r="B40" s="23"/>
      <x:c r="C40" s="23"/>
      <x:c r="D40" s="23" t="str">
        <x:f>IFERROR(VLOOKUP(C40,'Recipes'!$A$5:$P$100,2,FALSE),"")</x:f>
      </x:c>
      <x:c r="E40" s="26"/>
      <x:c r="F40" s="26" t="n">
        <x:f>IFERROR(E40*VLOOKUP(C40,'Recipes'!$A$5:$P$100,15,FALSE),0)</x:f>
        <x:v>0</x:v>
      </x:c>
      <x:c r="G40" s="26" t="n">
        <x:f>IFERROR(E40*VLOOKUP(C40,'Recipes'!$A$5:$P$100,12,FALSE)/VLOOKUP(C40,'Recipes'!$A$5:$P$100,7,FALSE),0)</x:f>
        <x:v>0</x:v>
      </x:c>
      <x:c r="H40" s="26" t="n">
        <x:f>IFERROR(E40*VLOOKUP(C40,'Recipes'!$A$5:$P$100,13,FALSE)/VLOOKUP(C40,'Recipes'!$A$5:$P$100,7,FALSE),0)</x:f>
        <x:v>0</x:v>
      </x:c>
      <x:c r="I40" s="26" t="n">
        <x:f>IFERROR(E40*VLOOKUP(C40,'Recipes'!$A$5:$P$100,14,FALSE)/VLOOKUP(C40,'Recipes'!$A$5:$P$100,7,FALSE),0)</x:f>
        <x:v>0</x:v>
      </x:c>
      <x:c r="J40" s="26" t="n">
        <x:f>IFERROR(E40*VLOOKUP(C40,'Recipes'!$A$5:$P$100,10,FALSE),0)</x:f>
        <x:v>0</x:v>
      </x:c>
      <x:c r="K40" s="23"/>
    </x:row>
    <x:row r="41">
      <x:c r="A41" s="29"/>
      <x:c r="B41" s="23"/>
      <x:c r="C41" s="23"/>
      <x:c r="D41" s="23" t="str">
        <x:f>IFERROR(VLOOKUP(C41,'Recipes'!$A$5:$P$100,2,FALSE),"")</x:f>
      </x:c>
      <x:c r="E41" s="26"/>
      <x:c r="F41" s="26" t="n">
        <x:f>IFERROR(E41*VLOOKUP(C41,'Recipes'!$A$5:$P$100,15,FALSE),0)</x:f>
        <x:v>0</x:v>
      </x:c>
      <x:c r="G41" s="26" t="n">
        <x:f>IFERROR(E41*VLOOKUP(C41,'Recipes'!$A$5:$P$100,12,FALSE)/VLOOKUP(C41,'Recipes'!$A$5:$P$100,7,FALSE),0)</x:f>
        <x:v>0</x:v>
      </x:c>
      <x:c r="H41" s="26" t="n">
        <x:f>IFERROR(E41*VLOOKUP(C41,'Recipes'!$A$5:$P$100,13,FALSE)/VLOOKUP(C41,'Recipes'!$A$5:$P$100,7,FALSE),0)</x:f>
        <x:v>0</x:v>
      </x:c>
      <x:c r="I41" s="26" t="n">
        <x:f>IFERROR(E41*VLOOKUP(C41,'Recipes'!$A$5:$P$100,14,FALSE)/VLOOKUP(C41,'Recipes'!$A$5:$P$100,7,FALSE),0)</x:f>
        <x:v>0</x:v>
      </x:c>
      <x:c r="J41" s="26" t="n">
        <x:f>IFERROR(E41*VLOOKUP(C41,'Recipes'!$A$5:$P$100,10,FALSE),0)</x:f>
        <x:v>0</x:v>
      </x:c>
      <x:c r="K41" s="23"/>
    </x:row>
    <x:row r="42">
      <x:c r="A42" s="29"/>
      <x:c r="B42" s="23"/>
      <x:c r="C42" s="23"/>
      <x:c r="D42" s="23" t="str">
        <x:f>IFERROR(VLOOKUP(C42,'Recipes'!$A$5:$P$100,2,FALSE),"")</x:f>
      </x:c>
      <x:c r="E42" s="26"/>
      <x:c r="F42" s="26" t="n">
        <x:f>IFERROR(E42*VLOOKUP(C42,'Recipes'!$A$5:$P$100,15,FALSE),0)</x:f>
        <x:v>0</x:v>
      </x:c>
      <x:c r="G42" s="26" t="n">
        <x:f>IFERROR(E42*VLOOKUP(C42,'Recipes'!$A$5:$P$100,12,FALSE)/VLOOKUP(C42,'Recipes'!$A$5:$P$100,7,FALSE),0)</x:f>
        <x:v>0</x:v>
      </x:c>
      <x:c r="H42" s="26" t="n">
        <x:f>IFERROR(E42*VLOOKUP(C42,'Recipes'!$A$5:$P$100,13,FALSE)/VLOOKUP(C42,'Recipes'!$A$5:$P$100,7,FALSE),0)</x:f>
        <x:v>0</x:v>
      </x:c>
      <x:c r="I42" s="26" t="n">
        <x:f>IFERROR(E42*VLOOKUP(C42,'Recipes'!$A$5:$P$100,14,FALSE)/VLOOKUP(C42,'Recipes'!$A$5:$P$100,7,FALSE),0)</x:f>
        <x:v>0</x:v>
      </x:c>
      <x:c r="J42" s="26" t="n">
        <x:f>IFERROR(E42*VLOOKUP(C42,'Recipes'!$A$5:$P$100,10,FALSE),0)</x:f>
        <x:v>0</x:v>
      </x:c>
      <x:c r="K42" s="23"/>
    </x:row>
    <x:row r="43">
      <x:c r="A43" s="29"/>
      <x:c r="B43" s="23"/>
      <x:c r="C43" s="23"/>
      <x:c r="D43" s="23" t="str">
        <x:f>IFERROR(VLOOKUP(C43,'Recipes'!$A$5:$P$100,2,FALSE),"")</x:f>
      </x:c>
      <x:c r="E43" s="26"/>
      <x:c r="F43" s="26" t="n">
        <x:f>IFERROR(E43*VLOOKUP(C43,'Recipes'!$A$5:$P$100,15,FALSE),0)</x:f>
        <x:v>0</x:v>
      </x:c>
      <x:c r="G43" s="26" t="n">
        <x:f>IFERROR(E43*VLOOKUP(C43,'Recipes'!$A$5:$P$100,12,FALSE)/VLOOKUP(C43,'Recipes'!$A$5:$P$100,7,FALSE),0)</x:f>
        <x:v>0</x:v>
      </x:c>
      <x:c r="H43" s="26" t="n">
        <x:f>IFERROR(E43*VLOOKUP(C43,'Recipes'!$A$5:$P$100,13,FALSE)/VLOOKUP(C43,'Recipes'!$A$5:$P$100,7,FALSE),0)</x:f>
        <x:v>0</x:v>
      </x:c>
      <x:c r="I43" s="26" t="n">
        <x:f>IFERROR(E43*VLOOKUP(C43,'Recipes'!$A$5:$P$100,14,FALSE)/VLOOKUP(C43,'Recipes'!$A$5:$P$100,7,FALSE),0)</x:f>
        <x:v>0</x:v>
      </x:c>
      <x:c r="J43" s="26" t="n">
        <x:f>IFERROR(E43*VLOOKUP(C43,'Recipes'!$A$5:$P$100,10,FALSE),0)</x:f>
        <x:v>0</x:v>
      </x:c>
      <x:c r="K43" s="23"/>
    </x:row>
    <x:row r="44">
      <x:c r="A44" s="29"/>
      <x:c r="B44" s="23"/>
      <x:c r="C44" s="23"/>
      <x:c r="D44" s="23" t="str">
        <x:f>IFERROR(VLOOKUP(C44,'Recipes'!$A$5:$P$100,2,FALSE),"")</x:f>
      </x:c>
      <x:c r="E44" s="26"/>
      <x:c r="F44" s="26" t="n">
        <x:f>IFERROR(E44*VLOOKUP(C44,'Recipes'!$A$5:$P$100,15,FALSE),0)</x:f>
        <x:v>0</x:v>
      </x:c>
      <x:c r="G44" s="26" t="n">
        <x:f>IFERROR(E44*VLOOKUP(C44,'Recipes'!$A$5:$P$100,12,FALSE)/VLOOKUP(C44,'Recipes'!$A$5:$P$100,7,FALSE),0)</x:f>
        <x:v>0</x:v>
      </x:c>
      <x:c r="H44" s="26" t="n">
        <x:f>IFERROR(E44*VLOOKUP(C44,'Recipes'!$A$5:$P$100,13,FALSE)/VLOOKUP(C44,'Recipes'!$A$5:$P$100,7,FALSE),0)</x:f>
        <x:v>0</x:v>
      </x:c>
      <x:c r="I44" s="26" t="n">
        <x:f>IFERROR(E44*VLOOKUP(C44,'Recipes'!$A$5:$P$100,14,FALSE)/VLOOKUP(C44,'Recipes'!$A$5:$P$100,7,FALSE),0)</x:f>
        <x:v>0</x:v>
      </x:c>
      <x:c r="J44" s="26" t="n">
        <x:f>IFERROR(E44*VLOOKUP(C44,'Recipes'!$A$5:$P$100,10,FALSE),0)</x:f>
        <x:v>0</x:v>
      </x:c>
      <x:c r="K44" s="23"/>
    </x:row>
    <x:row r="45">
      <x:c r="A45" s="29"/>
      <x:c r="B45" s="23"/>
      <x:c r="C45" s="23"/>
      <x:c r="D45" s="23" t="str">
        <x:f>IFERROR(VLOOKUP(C45,'Recipes'!$A$5:$P$100,2,FALSE),"")</x:f>
      </x:c>
      <x:c r="E45" s="26"/>
      <x:c r="F45" s="26" t="n">
        <x:f>IFERROR(E45*VLOOKUP(C45,'Recipes'!$A$5:$P$100,15,FALSE),0)</x:f>
        <x:v>0</x:v>
      </x:c>
      <x:c r="G45" s="26" t="n">
        <x:f>IFERROR(E45*VLOOKUP(C45,'Recipes'!$A$5:$P$100,12,FALSE)/VLOOKUP(C45,'Recipes'!$A$5:$P$100,7,FALSE),0)</x:f>
        <x:v>0</x:v>
      </x:c>
      <x:c r="H45" s="26" t="n">
        <x:f>IFERROR(E45*VLOOKUP(C45,'Recipes'!$A$5:$P$100,13,FALSE)/VLOOKUP(C45,'Recipes'!$A$5:$P$100,7,FALSE),0)</x:f>
        <x:v>0</x:v>
      </x:c>
      <x:c r="I45" s="26" t="n">
        <x:f>IFERROR(E45*VLOOKUP(C45,'Recipes'!$A$5:$P$100,14,FALSE)/VLOOKUP(C45,'Recipes'!$A$5:$P$100,7,FALSE),0)</x:f>
        <x:v>0</x:v>
      </x:c>
      <x:c r="J45" s="26" t="n">
        <x:f>IFERROR(E45*VLOOKUP(C45,'Recipes'!$A$5:$P$100,10,FALSE),0)</x:f>
        <x:v>0</x:v>
      </x:c>
      <x:c r="K45" s="23"/>
    </x:row>
    <x:row r="46">
      <x:c r="A46" s="29"/>
      <x:c r="B46" s="23"/>
      <x:c r="C46" s="23"/>
      <x:c r="D46" s="23" t="str">
        <x:f>IFERROR(VLOOKUP(C46,'Recipes'!$A$5:$P$100,2,FALSE),"")</x:f>
      </x:c>
      <x:c r="E46" s="26"/>
      <x:c r="F46" s="26" t="n">
        <x:f>IFERROR(E46*VLOOKUP(C46,'Recipes'!$A$5:$P$100,15,FALSE),0)</x:f>
        <x:v>0</x:v>
      </x:c>
      <x:c r="G46" s="26" t="n">
        <x:f>IFERROR(E46*VLOOKUP(C46,'Recipes'!$A$5:$P$100,12,FALSE)/VLOOKUP(C46,'Recipes'!$A$5:$P$100,7,FALSE),0)</x:f>
        <x:v>0</x:v>
      </x:c>
      <x:c r="H46" s="26" t="n">
        <x:f>IFERROR(E46*VLOOKUP(C46,'Recipes'!$A$5:$P$100,13,FALSE)/VLOOKUP(C46,'Recipes'!$A$5:$P$100,7,FALSE),0)</x:f>
        <x:v>0</x:v>
      </x:c>
      <x:c r="I46" s="26" t="n">
        <x:f>IFERROR(E46*VLOOKUP(C46,'Recipes'!$A$5:$P$100,14,FALSE)/VLOOKUP(C46,'Recipes'!$A$5:$P$100,7,FALSE),0)</x:f>
        <x:v>0</x:v>
      </x:c>
      <x:c r="J46" s="26" t="n">
        <x:f>IFERROR(E46*VLOOKUP(C46,'Recipes'!$A$5:$P$100,10,FALSE),0)</x:f>
        <x:v>0</x:v>
      </x:c>
      <x:c r="K46" s="23"/>
    </x:row>
    <x:row r="47">
      <x:c r="A47" s="29"/>
      <x:c r="B47" s="23"/>
      <x:c r="C47" s="23"/>
      <x:c r="D47" s="23" t="str">
        <x:f>IFERROR(VLOOKUP(C47,'Recipes'!$A$5:$P$100,2,FALSE),"")</x:f>
      </x:c>
      <x:c r="E47" s="26"/>
      <x:c r="F47" s="26" t="n">
        <x:f>IFERROR(E47*VLOOKUP(C47,'Recipes'!$A$5:$P$100,15,FALSE),0)</x:f>
        <x:v>0</x:v>
      </x:c>
      <x:c r="G47" s="26" t="n">
        <x:f>IFERROR(E47*VLOOKUP(C47,'Recipes'!$A$5:$P$100,12,FALSE)/VLOOKUP(C47,'Recipes'!$A$5:$P$100,7,FALSE),0)</x:f>
        <x:v>0</x:v>
      </x:c>
      <x:c r="H47" s="26" t="n">
        <x:f>IFERROR(E47*VLOOKUP(C47,'Recipes'!$A$5:$P$100,13,FALSE)/VLOOKUP(C47,'Recipes'!$A$5:$P$100,7,FALSE),0)</x:f>
        <x:v>0</x:v>
      </x:c>
      <x:c r="I47" s="26" t="n">
        <x:f>IFERROR(E47*VLOOKUP(C47,'Recipes'!$A$5:$P$100,14,FALSE)/VLOOKUP(C47,'Recipes'!$A$5:$P$100,7,FALSE),0)</x:f>
        <x:v>0</x:v>
      </x:c>
      <x:c r="J47" s="26" t="n">
        <x:f>IFERROR(E47*VLOOKUP(C47,'Recipes'!$A$5:$P$100,10,FALSE),0)</x:f>
        <x:v>0</x:v>
      </x:c>
      <x:c r="K47" s="23"/>
    </x:row>
    <x:row r="48">
      <x:c r="A48" s="29"/>
      <x:c r="B48" s="23"/>
      <x:c r="C48" s="23"/>
      <x:c r="D48" s="23" t="str">
        <x:f>IFERROR(VLOOKUP(C48,'Recipes'!$A$5:$P$100,2,FALSE),"")</x:f>
      </x:c>
      <x:c r="E48" s="26"/>
      <x:c r="F48" s="26" t="n">
        <x:f>IFERROR(E48*VLOOKUP(C48,'Recipes'!$A$5:$P$100,15,FALSE),0)</x:f>
        <x:v>0</x:v>
      </x:c>
      <x:c r="G48" s="26" t="n">
        <x:f>IFERROR(E48*VLOOKUP(C48,'Recipes'!$A$5:$P$100,12,FALSE)/VLOOKUP(C48,'Recipes'!$A$5:$P$100,7,FALSE),0)</x:f>
        <x:v>0</x:v>
      </x:c>
      <x:c r="H48" s="26" t="n">
        <x:f>IFERROR(E48*VLOOKUP(C48,'Recipes'!$A$5:$P$100,13,FALSE)/VLOOKUP(C48,'Recipes'!$A$5:$P$100,7,FALSE),0)</x:f>
        <x:v>0</x:v>
      </x:c>
      <x:c r="I48" s="26" t="n">
        <x:f>IFERROR(E48*VLOOKUP(C48,'Recipes'!$A$5:$P$100,14,FALSE)/VLOOKUP(C48,'Recipes'!$A$5:$P$100,7,FALSE),0)</x:f>
        <x:v>0</x:v>
      </x:c>
      <x:c r="J48" s="26" t="n">
        <x:f>IFERROR(E48*VLOOKUP(C48,'Recipes'!$A$5:$P$100,10,FALSE),0)</x:f>
        <x:v>0</x:v>
      </x:c>
      <x:c r="K48" s="23"/>
    </x:row>
    <x:row r="49">
      <x:c r="A49" s="29"/>
      <x:c r="B49" s="23"/>
      <x:c r="C49" s="23"/>
      <x:c r="D49" s="23" t="str">
        <x:f>IFERROR(VLOOKUP(C49,'Recipes'!$A$5:$P$100,2,FALSE),"")</x:f>
      </x:c>
      <x:c r="E49" s="26"/>
      <x:c r="F49" s="26" t="n">
        <x:f>IFERROR(E49*VLOOKUP(C49,'Recipes'!$A$5:$P$100,15,FALSE),0)</x:f>
        <x:v>0</x:v>
      </x:c>
      <x:c r="G49" s="26" t="n">
        <x:f>IFERROR(E49*VLOOKUP(C49,'Recipes'!$A$5:$P$100,12,FALSE)/VLOOKUP(C49,'Recipes'!$A$5:$P$100,7,FALSE),0)</x:f>
        <x:v>0</x:v>
      </x:c>
      <x:c r="H49" s="26" t="n">
        <x:f>IFERROR(E49*VLOOKUP(C49,'Recipes'!$A$5:$P$100,13,FALSE)/VLOOKUP(C49,'Recipes'!$A$5:$P$100,7,FALSE),0)</x:f>
        <x:v>0</x:v>
      </x:c>
      <x:c r="I49" s="26" t="n">
        <x:f>IFERROR(E49*VLOOKUP(C49,'Recipes'!$A$5:$P$100,14,FALSE)/VLOOKUP(C49,'Recipes'!$A$5:$P$100,7,FALSE),0)</x:f>
        <x:v>0</x:v>
      </x:c>
      <x:c r="J49" s="26" t="n">
        <x:f>IFERROR(E49*VLOOKUP(C49,'Recipes'!$A$5:$P$100,10,FALSE),0)</x:f>
        <x:v>0</x:v>
      </x:c>
      <x:c r="K49" s="23"/>
    </x:row>
    <x:row r="50">
      <x:c r="A50" s="29"/>
      <x:c r="B50" s="23"/>
      <x:c r="C50" s="23"/>
      <x:c r="D50" s="23" t="str">
        <x:f>IFERROR(VLOOKUP(C50,'Recipes'!$A$5:$P$100,2,FALSE),"")</x:f>
      </x:c>
      <x:c r="E50" s="26"/>
      <x:c r="F50" s="26" t="n">
        <x:f>IFERROR(E50*VLOOKUP(C50,'Recipes'!$A$5:$P$100,15,FALSE),0)</x:f>
        <x:v>0</x:v>
      </x:c>
      <x:c r="G50" s="26" t="n">
        <x:f>IFERROR(E50*VLOOKUP(C50,'Recipes'!$A$5:$P$100,12,FALSE)/VLOOKUP(C50,'Recipes'!$A$5:$P$100,7,FALSE),0)</x:f>
        <x:v>0</x:v>
      </x:c>
      <x:c r="H50" s="26" t="n">
        <x:f>IFERROR(E50*VLOOKUP(C50,'Recipes'!$A$5:$P$100,13,FALSE)/VLOOKUP(C50,'Recipes'!$A$5:$P$100,7,FALSE),0)</x:f>
        <x:v>0</x:v>
      </x:c>
      <x:c r="I50" s="26" t="n">
        <x:f>IFERROR(E50*VLOOKUP(C50,'Recipes'!$A$5:$P$100,14,FALSE)/VLOOKUP(C50,'Recipes'!$A$5:$P$100,7,FALSE),0)</x:f>
        <x:v>0</x:v>
      </x:c>
      <x:c r="J50" s="26" t="n">
        <x:f>IFERROR(E50*VLOOKUP(C50,'Recipes'!$A$5:$P$100,10,FALSE),0)</x:f>
        <x:v>0</x:v>
      </x:c>
      <x:c r="K50" s="23"/>
    </x:row>
    <x:row r="51">
      <x:c r="A51" s="29"/>
      <x:c r="B51" s="23"/>
      <x:c r="C51" s="23"/>
      <x:c r="D51" s="23" t="str">
        <x:f>IFERROR(VLOOKUP(C51,'Recipes'!$A$5:$P$100,2,FALSE),"")</x:f>
      </x:c>
      <x:c r="E51" s="26"/>
      <x:c r="F51" s="26" t="n">
        <x:f>IFERROR(E51*VLOOKUP(C51,'Recipes'!$A$5:$P$100,15,FALSE),0)</x:f>
        <x:v>0</x:v>
      </x:c>
      <x:c r="G51" s="26" t="n">
        <x:f>IFERROR(E51*VLOOKUP(C51,'Recipes'!$A$5:$P$100,12,FALSE)/VLOOKUP(C51,'Recipes'!$A$5:$P$100,7,FALSE),0)</x:f>
        <x:v>0</x:v>
      </x:c>
      <x:c r="H51" s="26" t="n">
        <x:f>IFERROR(E51*VLOOKUP(C51,'Recipes'!$A$5:$P$100,13,FALSE)/VLOOKUP(C51,'Recipes'!$A$5:$P$100,7,FALSE),0)</x:f>
        <x:v>0</x:v>
      </x:c>
      <x:c r="I51" s="26" t="n">
        <x:f>IFERROR(E51*VLOOKUP(C51,'Recipes'!$A$5:$P$100,14,FALSE)/VLOOKUP(C51,'Recipes'!$A$5:$P$100,7,FALSE),0)</x:f>
        <x:v>0</x:v>
      </x:c>
      <x:c r="J51" s="26" t="n">
        <x:f>IFERROR(E51*VLOOKUP(C51,'Recipes'!$A$5:$P$100,10,FALSE),0)</x:f>
        <x:v>0</x:v>
      </x:c>
      <x:c r="K51" s="23"/>
    </x:row>
    <x:row r="52">
      <x:c r="A52" s="29"/>
      <x:c r="B52" s="23"/>
      <x:c r="C52" s="23"/>
      <x:c r="D52" s="23" t="str">
        <x:f>IFERROR(VLOOKUP(C52,'Recipes'!$A$5:$P$100,2,FALSE),"")</x:f>
      </x:c>
      <x:c r="E52" s="26"/>
      <x:c r="F52" s="26" t="n">
        <x:f>IFERROR(E52*VLOOKUP(C52,'Recipes'!$A$5:$P$100,15,FALSE),0)</x:f>
        <x:v>0</x:v>
      </x:c>
      <x:c r="G52" s="26" t="n">
        <x:f>IFERROR(E52*VLOOKUP(C52,'Recipes'!$A$5:$P$100,12,FALSE)/VLOOKUP(C52,'Recipes'!$A$5:$P$100,7,FALSE),0)</x:f>
        <x:v>0</x:v>
      </x:c>
      <x:c r="H52" s="26" t="n">
        <x:f>IFERROR(E52*VLOOKUP(C52,'Recipes'!$A$5:$P$100,13,FALSE)/VLOOKUP(C52,'Recipes'!$A$5:$P$100,7,FALSE),0)</x:f>
        <x:v>0</x:v>
      </x:c>
      <x:c r="I52" s="26" t="n">
        <x:f>IFERROR(E52*VLOOKUP(C52,'Recipes'!$A$5:$P$100,14,FALSE)/VLOOKUP(C52,'Recipes'!$A$5:$P$100,7,FALSE),0)</x:f>
        <x:v>0</x:v>
      </x:c>
      <x:c r="J52" s="26" t="n">
        <x:f>IFERROR(E52*VLOOKUP(C52,'Recipes'!$A$5:$P$100,10,FALSE),0)</x:f>
        <x:v>0</x:v>
      </x:c>
      <x:c r="K52" s="23"/>
    </x:row>
    <x:row r="53">
      <x:c r="A53" s="29"/>
      <x:c r="B53" s="23"/>
      <x:c r="C53" s="23"/>
      <x:c r="D53" s="23" t="str">
        <x:f>IFERROR(VLOOKUP(C53,'Recipes'!$A$5:$P$100,2,FALSE),"")</x:f>
      </x:c>
      <x:c r="E53" s="26"/>
      <x:c r="F53" s="26" t="n">
        <x:f>IFERROR(E53*VLOOKUP(C53,'Recipes'!$A$5:$P$100,15,FALSE),0)</x:f>
        <x:v>0</x:v>
      </x:c>
      <x:c r="G53" s="26" t="n">
        <x:f>IFERROR(E53*VLOOKUP(C53,'Recipes'!$A$5:$P$100,12,FALSE)/VLOOKUP(C53,'Recipes'!$A$5:$P$100,7,FALSE),0)</x:f>
        <x:v>0</x:v>
      </x:c>
      <x:c r="H53" s="26" t="n">
        <x:f>IFERROR(E53*VLOOKUP(C53,'Recipes'!$A$5:$P$100,13,FALSE)/VLOOKUP(C53,'Recipes'!$A$5:$P$100,7,FALSE),0)</x:f>
        <x:v>0</x:v>
      </x:c>
      <x:c r="I53" s="26" t="n">
        <x:f>IFERROR(E53*VLOOKUP(C53,'Recipes'!$A$5:$P$100,14,FALSE)/VLOOKUP(C53,'Recipes'!$A$5:$P$100,7,FALSE),0)</x:f>
        <x:v>0</x:v>
      </x:c>
      <x:c r="J53" s="26" t="n">
        <x:f>IFERROR(E53*VLOOKUP(C53,'Recipes'!$A$5:$P$100,10,FALSE),0)</x:f>
        <x:v>0</x:v>
      </x:c>
      <x:c r="K53" s="23"/>
    </x:row>
    <x:row r="54">
      <x:c r="A54" s="29"/>
      <x:c r="B54" s="23"/>
      <x:c r="C54" s="23"/>
      <x:c r="D54" s="23" t="str">
        <x:f>IFERROR(VLOOKUP(C54,'Recipes'!$A$5:$P$100,2,FALSE),"")</x:f>
      </x:c>
      <x:c r="E54" s="26"/>
      <x:c r="F54" s="26" t="n">
        <x:f>IFERROR(E54*VLOOKUP(C54,'Recipes'!$A$5:$P$100,15,FALSE),0)</x:f>
        <x:v>0</x:v>
      </x:c>
      <x:c r="G54" s="26" t="n">
        <x:f>IFERROR(E54*VLOOKUP(C54,'Recipes'!$A$5:$P$100,12,FALSE)/VLOOKUP(C54,'Recipes'!$A$5:$P$100,7,FALSE),0)</x:f>
        <x:v>0</x:v>
      </x:c>
      <x:c r="H54" s="26" t="n">
        <x:f>IFERROR(E54*VLOOKUP(C54,'Recipes'!$A$5:$P$100,13,FALSE)/VLOOKUP(C54,'Recipes'!$A$5:$P$100,7,FALSE),0)</x:f>
        <x:v>0</x:v>
      </x:c>
      <x:c r="I54" s="26" t="n">
        <x:f>IFERROR(E54*VLOOKUP(C54,'Recipes'!$A$5:$P$100,14,FALSE)/VLOOKUP(C54,'Recipes'!$A$5:$P$100,7,FALSE),0)</x:f>
        <x:v>0</x:v>
      </x:c>
      <x:c r="J54" s="26" t="n">
        <x:f>IFERROR(E54*VLOOKUP(C54,'Recipes'!$A$5:$P$100,10,FALSE),0)</x:f>
        <x:v>0</x:v>
      </x:c>
      <x:c r="K54" s="23"/>
    </x:row>
    <x:row r="55">
      <x:c r="A55" s="29"/>
      <x:c r="B55" s="23"/>
      <x:c r="C55" s="23"/>
      <x:c r="D55" s="23" t="str">
        <x:f>IFERROR(VLOOKUP(C55,'Recipes'!$A$5:$P$100,2,FALSE),"")</x:f>
      </x:c>
      <x:c r="E55" s="26"/>
      <x:c r="F55" s="26" t="n">
        <x:f>IFERROR(E55*VLOOKUP(C55,'Recipes'!$A$5:$P$100,15,FALSE),0)</x:f>
        <x:v>0</x:v>
      </x:c>
      <x:c r="G55" s="26" t="n">
        <x:f>IFERROR(E55*VLOOKUP(C55,'Recipes'!$A$5:$P$100,12,FALSE)/VLOOKUP(C55,'Recipes'!$A$5:$P$100,7,FALSE),0)</x:f>
        <x:v>0</x:v>
      </x:c>
      <x:c r="H55" s="26" t="n">
        <x:f>IFERROR(E55*VLOOKUP(C55,'Recipes'!$A$5:$P$100,13,FALSE)/VLOOKUP(C55,'Recipes'!$A$5:$P$100,7,FALSE),0)</x:f>
        <x:v>0</x:v>
      </x:c>
      <x:c r="I55" s="26" t="n">
        <x:f>IFERROR(E55*VLOOKUP(C55,'Recipes'!$A$5:$P$100,14,FALSE)/VLOOKUP(C55,'Recipes'!$A$5:$P$100,7,FALSE),0)</x:f>
        <x:v>0</x:v>
      </x:c>
      <x:c r="J55" s="26" t="n">
        <x:f>IFERROR(E55*VLOOKUP(C55,'Recipes'!$A$5:$P$100,10,FALSE),0)</x:f>
        <x:v>0</x:v>
      </x:c>
      <x:c r="K55" s="23"/>
    </x:row>
    <x:row r="56">
      <x:c r="A56" s="29"/>
      <x:c r="B56" s="23"/>
      <x:c r="C56" s="23"/>
      <x:c r="D56" s="23" t="str">
        <x:f>IFERROR(VLOOKUP(C56,'Recipes'!$A$5:$P$100,2,FALSE),"")</x:f>
      </x:c>
      <x:c r="E56" s="26"/>
      <x:c r="F56" s="26" t="n">
        <x:f>IFERROR(E56*VLOOKUP(C56,'Recipes'!$A$5:$P$100,15,FALSE),0)</x:f>
        <x:v>0</x:v>
      </x:c>
      <x:c r="G56" s="26" t="n">
        <x:f>IFERROR(E56*VLOOKUP(C56,'Recipes'!$A$5:$P$100,12,FALSE)/VLOOKUP(C56,'Recipes'!$A$5:$P$100,7,FALSE),0)</x:f>
        <x:v>0</x:v>
      </x:c>
      <x:c r="H56" s="26" t="n">
        <x:f>IFERROR(E56*VLOOKUP(C56,'Recipes'!$A$5:$P$100,13,FALSE)/VLOOKUP(C56,'Recipes'!$A$5:$P$100,7,FALSE),0)</x:f>
        <x:v>0</x:v>
      </x:c>
      <x:c r="I56" s="26" t="n">
        <x:f>IFERROR(E56*VLOOKUP(C56,'Recipes'!$A$5:$P$100,14,FALSE)/VLOOKUP(C56,'Recipes'!$A$5:$P$100,7,FALSE),0)</x:f>
        <x:v>0</x:v>
      </x:c>
      <x:c r="J56" s="26" t="n">
        <x:f>IFERROR(E56*VLOOKUP(C56,'Recipes'!$A$5:$P$100,10,FALSE),0)</x:f>
        <x:v>0</x:v>
      </x:c>
      <x:c r="K56" s="23"/>
    </x:row>
    <x:row r="57">
      <x:c r="A57" s="29"/>
      <x:c r="B57" s="23"/>
      <x:c r="C57" s="23"/>
      <x:c r="D57" s="23" t="str">
        <x:f>IFERROR(VLOOKUP(C57,'Recipes'!$A$5:$P$100,2,FALSE),"")</x:f>
      </x:c>
      <x:c r="E57" s="26"/>
      <x:c r="F57" s="26" t="n">
        <x:f>IFERROR(E57*VLOOKUP(C57,'Recipes'!$A$5:$P$100,15,FALSE),0)</x:f>
        <x:v>0</x:v>
      </x:c>
      <x:c r="G57" s="26" t="n">
        <x:f>IFERROR(E57*VLOOKUP(C57,'Recipes'!$A$5:$P$100,12,FALSE)/VLOOKUP(C57,'Recipes'!$A$5:$P$100,7,FALSE),0)</x:f>
        <x:v>0</x:v>
      </x:c>
      <x:c r="H57" s="26" t="n">
        <x:f>IFERROR(E57*VLOOKUP(C57,'Recipes'!$A$5:$P$100,13,FALSE)/VLOOKUP(C57,'Recipes'!$A$5:$P$100,7,FALSE),0)</x:f>
        <x:v>0</x:v>
      </x:c>
      <x:c r="I57" s="26" t="n">
        <x:f>IFERROR(E57*VLOOKUP(C57,'Recipes'!$A$5:$P$100,14,FALSE)/VLOOKUP(C57,'Recipes'!$A$5:$P$100,7,FALSE),0)</x:f>
        <x:v>0</x:v>
      </x:c>
      <x:c r="J57" s="26" t="n">
        <x:f>IFERROR(E57*VLOOKUP(C57,'Recipes'!$A$5:$P$100,10,FALSE),0)</x:f>
        <x:v>0</x:v>
      </x:c>
      <x:c r="K57" s="23"/>
    </x:row>
    <x:row r="58">
      <x:c r="A58" s="29"/>
      <x:c r="B58" s="23"/>
      <x:c r="C58" s="23"/>
      <x:c r="D58" s="23" t="str">
        <x:f>IFERROR(VLOOKUP(C58,'Recipes'!$A$5:$P$100,2,FALSE),"")</x:f>
      </x:c>
      <x:c r="E58" s="26"/>
      <x:c r="F58" s="26" t="n">
        <x:f>IFERROR(E58*VLOOKUP(C58,'Recipes'!$A$5:$P$100,15,FALSE),0)</x:f>
        <x:v>0</x:v>
      </x:c>
      <x:c r="G58" s="26" t="n">
        <x:f>IFERROR(E58*VLOOKUP(C58,'Recipes'!$A$5:$P$100,12,FALSE)/VLOOKUP(C58,'Recipes'!$A$5:$P$100,7,FALSE),0)</x:f>
        <x:v>0</x:v>
      </x:c>
      <x:c r="H58" s="26" t="n">
        <x:f>IFERROR(E58*VLOOKUP(C58,'Recipes'!$A$5:$P$100,13,FALSE)/VLOOKUP(C58,'Recipes'!$A$5:$P$100,7,FALSE),0)</x:f>
        <x:v>0</x:v>
      </x:c>
      <x:c r="I58" s="26" t="n">
        <x:f>IFERROR(E58*VLOOKUP(C58,'Recipes'!$A$5:$P$100,14,FALSE)/VLOOKUP(C58,'Recipes'!$A$5:$P$100,7,FALSE),0)</x:f>
        <x:v>0</x:v>
      </x:c>
      <x:c r="J58" s="26" t="n">
        <x:f>IFERROR(E58*VLOOKUP(C58,'Recipes'!$A$5:$P$100,10,FALSE),0)</x:f>
        <x:v>0</x:v>
      </x:c>
      <x:c r="K58" s="23"/>
    </x:row>
    <x:row r="59">
      <x:c r="A59" s="29"/>
      <x:c r="B59" s="23"/>
      <x:c r="C59" s="23"/>
      <x:c r="D59" s="23" t="str">
        <x:f>IFERROR(VLOOKUP(C59,'Recipes'!$A$5:$P$100,2,FALSE),"")</x:f>
      </x:c>
      <x:c r="E59" s="26"/>
      <x:c r="F59" s="26" t="n">
        <x:f>IFERROR(E59*VLOOKUP(C59,'Recipes'!$A$5:$P$100,15,FALSE),0)</x:f>
        <x:v>0</x:v>
      </x:c>
      <x:c r="G59" s="26" t="n">
        <x:f>IFERROR(E59*VLOOKUP(C59,'Recipes'!$A$5:$P$100,12,FALSE)/VLOOKUP(C59,'Recipes'!$A$5:$P$100,7,FALSE),0)</x:f>
        <x:v>0</x:v>
      </x:c>
      <x:c r="H59" s="26" t="n">
        <x:f>IFERROR(E59*VLOOKUP(C59,'Recipes'!$A$5:$P$100,13,FALSE)/VLOOKUP(C59,'Recipes'!$A$5:$P$100,7,FALSE),0)</x:f>
        <x:v>0</x:v>
      </x:c>
      <x:c r="I59" s="26" t="n">
        <x:f>IFERROR(E59*VLOOKUP(C59,'Recipes'!$A$5:$P$100,14,FALSE)/VLOOKUP(C59,'Recipes'!$A$5:$P$100,7,FALSE),0)</x:f>
        <x:v>0</x:v>
      </x:c>
      <x:c r="J59" s="26" t="n">
        <x:f>IFERROR(E59*VLOOKUP(C59,'Recipes'!$A$5:$P$100,10,FALSE),0)</x:f>
        <x:v>0</x:v>
      </x:c>
      <x:c r="K59" s="23"/>
    </x:row>
    <x:row r="60">
      <x:c r="A60" s="29"/>
      <x:c r="B60" s="23"/>
      <x:c r="C60" s="23"/>
      <x:c r="D60" s="23" t="str">
        <x:f>IFERROR(VLOOKUP(C60,'Recipes'!$A$5:$P$100,2,FALSE),"")</x:f>
      </x:c>
      <x:c r="E60" s="26"/>
      <x:c r="F60" s="26" t="n">
        <x:f>IFERROR(E60*VLOOKUP(C60,'Recipes'!$A$5:$P$100,15,FALSE),0)</x:f>
        <x:v>0</x:v>
      </x:c>
      <x:c r="G60" s="26" t="n">
        <x:f>IFERROR(E60*VLOOKUP(C60,'Recipes'!$A$5:$P$100,12,FALSE)/VLOOKUP(C60,'Recipes'!$A$5:$P$100,7,FALSE),0)</x:f>
        <x:v>0</x:v>
      </x:c>
      <x:c r="H60" s="26" t="n">
        <x:f>IFERROR(E60*VLOOKUP(C60,'Recipes'!$A$5:$P$100,13,FALSE)/VLOOKUP(C60,'Recipes'!$A$5:$P$100,7,FALSE),0)</x:f>
        <x:v>0</x:v>
      </x:c>
      <x:c r="I60" s="26" t="n">
        <x:f>IFERROR(E60*VLOOKUP(C60,'Recipes'!$A$5:$P$100,14,FALSE)/VLOOKUP(C60,'Recipes'!$A$5:$P$100,7,FALSE),0)</x:f>
        <x:v>0</x:v>
      </x:c>
      <x:c r="J60" s="26" t="n">
        <x:f>IFERROR(E60*VLOOKUP(C60,'Recipes'!$A$5:$P$100,10,FALSE),0)</x:f>
        <x:v>0</x:v>
      </x:c>
      <x:c r="K60" s="23"/>
    </x:row>
    <x:row r="61">
      <x:c r="A61" s="29"/>
      <x:c r="B61" s="23"/>
      <x:c r="C61" s="23"/>
      <x:c r="D61" s="23" t="str">
        <x:f>IFERROR(VLOOKUP(C61,'Recipes'!$A$5:$P$100,2,FALSE),"")</x:f>
      </x:c>
      <x:c r="E61" s="26"/>
      <x:c r="F61" s="26" t="n">
        <x:f>IFERROR(E61*VLOOKUP(C61,'Recipes'!$A$5:$P$100,15,FALSE),0)</x:f>
        <x:v>0</x:v>
      </x:c>
      <x:c r="G61" s="26" t="n">
        <x:f>IFERROR(E61*VLOOKUP(C61,'Recipes'!$A$5:$P$100,12,FALSE)/VLOOKUP(C61,'Recipes'!$A$5:$P$100,7,FALSE),0)</x:f>
        <x:v>0</x:v>
      </x:c>
      <x:c r="H61" s="26" t="n">
        <x:f>IFERROR(E61*VLOOKUP(C61,'Recipes'!$A$5:$P$100,13,FALSE)/VLOOKUP(C61,'Recipes'!$A$5:$P$100,7,FALSE),0)</x:f>
        <x:v>0</x:v>
      </x:c>
      <x:c r="I61" s="26" t="n">
        <x:f>IFERROR(E61*VLOOKUP(C61,'Recipes'!$A$5:$P$100,14,FALSE)/VLOOKUP(C61,'Recipes'!$A$5:$P$100,7,FALSE),0)</x:f>
        <x:v>0</x:v>
      </x:c>
      <x:c r="J61" s="26" t="n">
        <x:f>IFERROR(E61*VLOOKUP(C61,'Recipes'!$A$5:$P$100,10,FALSE),0)</x:f>
        <x:v>0</x:v>
      </x:c>
      <x:c r="K61" s="23"/>
    </x:row>
    <x:row r="62">
      <x:c r="A62" s="29"/>
      <x:c r="B62" s="23"/>
      <x:c r="C62" s="23"/>
      <x:c r="D62" s="23" t="str">
        <x:f>IFERROR(VLOOKUP(C62,'Recipes'!$A$5:$P$100,2,FALSE),"")</x:f>
      </x:c>
      <x:c r="E62" s="26"/>
      <x:c r="F62" s="26" t="n">
        <x:f>IFERROR(E62*VLOOKUP(C62,'Recipes'!$A$5:$P$100,15,FALSE),0)</x:f>
        <x:v>0</x:v>
      </x:c>
      <x:c r="G62" s="26" t="n">
        <x:f>IFERROR(E62*VLOOKUP(C62,'Recipes'!$A$5:$P$100,12,FALSE)/VLOOKUP(C62,'Recipes'!$A$5:$P$100,7,FALSE),0)</x:f>
        <x:v>0</x:v>
      </x:c>
      <x:c r="H62" s="26" t="n">
        <x:f>IFERROR(E62*VLOOKUP(C62,'Recipes'!$A$5:$P$100,13,FALSE)/VLOOKUP(C62,'Recipes'!$A$5:$P$100,7,FALSE),0)</x:f>
        <x:v>0</x:v>
      </x:c>
      <x:c r="I62" s="26" t="n">
        <x:f>IFERROR(E62*VLOOKUP(C62,'Recipes'!$A$5:$P$100,14,FALSE)/VLOOKUP(C62,'Recipes'!$A$5:$P$100,7,FALSE),0)</x:f>
        <x:v>0</x:v>
      </x:c>
      <x:c r="J62" s="26" t="n">
        <x:f>IFERROR(E62*VLOOKUP(C62,'Recipes'!$A$5:$P$100,10,FALSE),0)</x:f>
        <x:v>0</x:v>
      </x:c>
      <x:c r="K62" s="23"/>
    </x:row>
    <x:row r="63">
      <x:c r="A63" s="29"/>
      <x:c r="B63" s="23"/>
      <x:c r="C63" s="23"/>
      <x:c r="D63" s="23" t="str">
        <x:f>IFERROR(VLOOKUP(C63,'Recipes'!$A$5:$P$100,2,FALSE),"")</x:f>
      </x:c>
      <x:c r="E63" s="26"/>
      <x:c r="F63" s="26" t="n">
        <x:f>IFERROR(E63*VLOOKUP(C63,'Recipes'!$A$5:$P$100,15,FALSE),0)</x:f>
        <x:v>0</x:v>
      </x:c>
      <x:c r="G63" s="26" t="n">
        <x:f>IFERROR(E63*VLOOKUP(C63,'Recipes'!$A$5:$P$100,12,FALSE)/VLOOKUP(C63,'Recipes'!$A$5:$P$100,7,FALSE),0)</x:f>
        <x:v>0</x:v>
      </x:c>
      <x:c r="H63" s="26" t="n">
        <x:f>IFERROR(E63*VLOOKUP(C63,'Recipes'!$A$5:$P$100,13,FALSE)/VLOOKUP(C63,'Recipes'!$A$5:$P$100,7,FALSE),0)</x:f>
        <x:v>0</x:v>
      </x:c>
      <x:c r="I63" s="26" t="n">
        <x:f>IFERROR(E63*VLOOKUP(C63,'Recipes'!$A$5:$P$100,14,FALSE)/VLOOKUP(C63,'Recipes'!$A$5:$P$100,7,FALSE),0)</x:f>
        <x:v>0</x:v>
      </x:c>
      <x:c r="J63" s="26" t="n">
        <x:f>IFERROR(E63*VLOOKUP(C63,'Recipes'!$A$5:$P$100,10,FALSE),0)</x:f>
        <x:v>0</x:v>
      </x:c>
      <x:c r="K63" s="23"/>
    </x:row>
    <x:row r="64">
      <x:c r="A64" s="29"/>
      <x:c r="B64" s="23"/>
      <x:c r="C64" s="23"/>
      <x:c r="D64" s="23" t="str">
        <x:f>IFERROR(VLOOKUP(C64,'Recipes'!$A$5:$P$100,2,FALSE),"")</x:f>
      </x:c>
      <x:c r="E64" s="26"/>
      <x:c r="F64" s="26" t="n">
        <x:f>IFERROR(E64*VLOOKUP(C64,'Recipes'!$A$5:$P$100,15,FALSE),0)</x:f>
        <x:v>0</x:v>
      </x:c>
      <x:c r="G64" s="26" t="n">
        <x:f>IFERROR(E64*VLOOKUP(C64,'Recipes'!$A$5:$P$100,12,FALSE)/VLOOKUP(C64,'Recipes'!$A$5:$P$100,7,FALSE),0)</x:f>
        <x:v>0</x:v>
      </x:c>
      <x:c r="H64" s="26" t="n">
        <x:f>IFERROR(E64*VLOOKUP(C64,'Recipes'!$A$5:$P$100,13,FALSE)/VLOOKUP(C64,'Recipes'!$A$5:$P$100,7,FALSE),0)</x:f>
        <x:v>0</x:v>
      </x:c>
      <x:c r="I64" s="26" t="n">
        <x:f>IFERROR(E64*VLOOKUP(C64,'Recipes'!$A$5:$P$100,14,FALSE)/VLOOKUP(C64,'Recipes'!$A$5:$P$100,7,FALSE),0)</x:f>
        <x:v>0</x:v>
      </x:c>
      <x:c r="J64" s="26" t="n">
        <x:f>IFERROR(E64*VLOOKUP(C64,'Recipes'!$A$5:$P$100,10,FALSE),0)</x:f>
        <x:v>0</x:v>
      </x:c>
      <x:c r="K64" s="23"/>
    </x:row>
    <x:row r="65">
      <x:c r="A65" s="29"/>
      <x:c r="B65" s="23"/>
      <x:c r="C65" s="23"/>
      <x:c r="D65" s="23" t="str">
        <x:f>IFERROR(VLOOKUP(C65,'Recipes'!$A$5:$P$100,2,FALSE),"")</x:f>
      </x:c>
      <x:c r="E65" s="26"/>
      <x:c r="F65" s="26" t="n">
        <x:f>IFERROR(E65*VLOOKUP(C65,'Recipes'!$A$5:$P$100,15,FALSE),0)</x:f>
        <x:v>0</x:v>
      </x:c>
      <x:c r="G65" s="26" t="n">
        <x:f>IFERROR(E65*VLOOKUP(C65,'Recipes'!$A$5:$P$100,12,FALSE)/VLOOKUP(C65,'Recipes'!$A$5:$P$100,7,FALSE),0)</x:f>
        <x:v>0</x:v>
      </x:c>
      <x:c r="H65" s="26" t="n">
        <x:f>IFERROR(E65*VLOOKUP(C65,'Recipes'!$A$5:$P$100,13,FALSE)/VLOOKUP(C65,'Recipes'!$A$5:$P$100,7,FALSE),0)</x:f>
        <x:v>0</x:v>
      </x:c>
      <x:c r="I65" s="26" t="n">
        <x:f>IFERROR(E65*VLOOKUP(C65,'Recipes'!$A$5:$P$100,14,FALSE)/VLOOKUP(C65,'Recipes'!$A$5:$P$100,7,FALSE),0)</x:f>
        <x:v>0</x:v>
      </x:c>
      <x:c r="J65" s="26" t="n">
        <x:f>IFERROR(E65*VLOOKUP(C65,'Recipes'!$A$5:$P$100,10,FALSE),0)</x:f>
        <x:v>0</x:v>
      </x:c>
      <x:c r="K65" s="23"/>
    </x:row>
    <x:row r="66">
      <x:c r="A66" s="29"/>
      <x:c r="B66" s="23"/>
      <x:c r="C66" s="23"/>
      <x:c r="D66" s="23" t="str">
        <x:f>IFERROR(VLOOKUP(C66,'Recipes'!$A$5:$P$100,2,FALSE),"")</x:f>
      </x:c>
      <x:c r="E66" s="26"/>
      <x:c r="F66" s="26" t="n">
        <x:f>IFERROR(E66*VLOOKUP(C66,'Recipes'!$A$5:$P$100,15,FALSE),0)</x:f>
        <x:v>0</x:v>
      </x:c>
      <x:c r="G66" s="26" t="n">
        <x:f>IFERROR(E66*VLOOKUP(C66,'Recipes'!$A$5:$P$100,12,FALSE)/VLOOKUP(C66,'Recipes'!$A$5:$P$100,7,FALSE),0)</x:f>
        <x:v>0</x:v>
      </x:c>
      <x:c r="H66" s="26" t="n">
        <x:f>IFERROR(E66*VLOOKUP(C66,'Recipes'!$A$5:$P$100,13,FALSE)/VLOOKUP(C66,'Recipes'!$A$5:$P$100,7,FALSE),0)</x:f>
        <x:v>0</x:v>
      </x:c>
      <x:c r="I66" s="26" t="n">
        <x:f>IFERROR(E66*VLOOKUP(C66,'Recipes'!$A$5:$P$100,14,FALSE)/VLOOKUP(C66,'Recipes'!$A$5:$P$100,7,FALSE),0)</x:f>
        <x:v>0</x:v>
      </x:c>
      <x:c r="J66" s="26" t="n">
        <x:f>IFERROR(E66*VLOOKUP(C66,'Recipes'!$A$5:$P$100,10,FALSE),0)</x:f>
        <x:v>0</x:v>
      </x:c>
      <x:c r="K66" s="23"/>
    </x:row>
    <x:row r="67">
      <x:c r="A67" s="29"/>
      <x:c r="B67" s="23"/>
      <x:c r="C67" s="23"/>
      <x:c r="D67" s="23" t="str">
        <x:f>IFERROR(VLOOKUP(C67,'Recipes'!$A$5:$P$100,2,FALSE),"")</x:f>
      </x:c>
      <x:c r="E67" s="26"/>
      <x:c r="F67" s="26" t="n">
        <x:f>IFERROR(E67*VLOOKUP(C67,'Recipes'!$A$5:$P$100,15,FALSE),0)</x:f>
        <x:v>0</x:v>
      </x:c>
      <x:c r="G67" s="26" t="n">
        <x:f>IFERROR(E67*VLOOKUP(C67,'Recipes'!$A$5:$P$100,12,FALSE)/VLOOKUP(C67,'Recipes'!$A$5:$P$100,7,FALSE),0)</x:f>
        <x:v>0</x:v>
      </x:c>
      <x:c r="H67" s="26" t="n">
        <x:f>IFERROR(E67*VLOOKUP(C67,'Recipes'!$A$5:$P$100,13,FALSE)/VLOOKUP(C67,'Recipes'!$A$5:$P$100,7,FALSE),0)</x:f>
        <x:v>0</x:v>
      </x:c>
      <x:c r="I67" s="26" t="n">
        <x:f>IFERROR(E67*VLOOKUP(C67,'Recipes'!$A$5:$P$100,14,FALSE)/VLOOKUP(C67,'Recipes'!$A$5:$P$100,7,FALSE),0)</x:f>
        <x:v>0</x:v>
      </x:c>
      <x:c r="J67" s="26" t="n">
        <x:f>IFERROR(E67*VLOOKUP(C67,'Recipes'!$A$5:$P$100,10,FALSE),0)</x:f>
        <x:v>0</x:v>
      </x:c>
      <x:c r="K67" s="23"/>
    </x:row>
    <x:row r="68">
      <x:c r="A68" s="29"/>
      <x:c r="B68" s="23"/>
      <x:c r="C68" s="23"/>
      <x:c r="D68" s="23" t="str">
        <x:f>IFERROR(VLOOKUP(C68,'Recipes'!$A$5:$P$100,2,FALSE),"")</x:f>
      </x:c>
      <x:c r="E68" s="26"/>
      <x:c r="F68" s="26" t="n">
        <x:f>IFERROR(E68*VLOOKUP(C68,'Recipes'!$A$5:$P$100,15,FALSE),0)</x:f>
        <x:v>0</x:v>
      </x:c>
      <x:c r="G68" s="26" t="n">
        <x:f>IFERROR(E68*VLOOKUP(C68,'Recipes'!$A$5:$P$100,12,FALSE)/VLOOKUP(C68,'Recipes'!$A$5:$P$100,7,FALSE),0)</x:f>
        <x:v>0</x:v>
      </x:c>
      <x:c r="H68" s="26" t="n">
        <x:f>IFERROR(E68*VLOOKUP(C68,'Recipes'!$A$5:$P$100,13,FALSE)/VLOOKUP(C68,'Recipes'!$A$5:$P$100,7,FALSE),0)</x:f>
        <x:v>0</x:v>
      </x:c>
      <x:c r="I68" s="26" t="n">
        <x:f>IFERROR(E68*VLOOKUP(C68,'Recipes'!$A$5:$P$100,14,FALSE)/VLOOKUP(C68,'Recipes'!$A$5:$P$100,7,FALSE),0)</x:f>
        <x:v>0</x:v>
      </x:c>
      <x:c r="J68" s="26" t="n">
        <x:f>IFERROR(E68*VLOOKUP(C68,'Recipes'!$A$5:$P$100,10,FALSE),0)</x:f>
        <x:v>0</x:v>
      </x:c>
      <x:c r="K68" s="23"/>
    </x:row>
    <x:row r="69">
      <x:c r="A69" s="29"/>
      <x:c r="B69" s="23"/>
      <x:c r="C69" s="23"/>
      <x:c r="D69" s="23" t="str">
        <x:f>IFERROR(VLOOKUP(C69,'Recipes'!$A$5:$P$100,2,FALSE),"")</x:f>
      </x:c>
      <x:c r="E69" s="26"/>
      <x:c r="F69" s="26" t="n">
        <x:f>IFERROR(E69*VLOOKUP(C69,'Recipes'!$A$5:$P$100,15,FALSE),0)</x:f>
        <x:v>0</x:v>
      </x:c>
      <x:c r="G69" s="26" t="n">
        <x:f>IFERROR(E69*VLOOKUP(C69,'Recipes'!$A$5:$P$100,12,FALSE)/VLOOKUP(C69,'Recipes'!$A$5:$P$100,7,FALSE),0)</x:f>
        <x:v>0</x:v>
      </x:c>
      <x:c r="H69" s="26" t="n">
        <x:f>IFERROR(E69*VLOOKUP(C69,'Recipes'!$A$5:$P$100,13,FALSE)/VLOOKUP(C69,'Recipes'!$A$5:$P$100,7,FALSE),0)</x:f>
        <x:v>0</x:v>
      </x:c>
      <x:c r="I69" s="26" t="n">
        <x:f>IFERROR(E69*VLOOKUP(C69,'Recipes'!$A$5:$P$100,14,FALSE)/VLOOKUP(C69,'Recipes'!$A$5:$P$100,7,FALSE),0)</x:f>
        <x:v>0</x:v>
      </x:c>
      <x:c r="J69" s="26" t="n">
        <x:f>IFERROR(E69*VLOOKUP(C69,'Recipes'!$A$5:$P$100,10,FALSE),0)</x:f>
        <x:v>0</x:v>
      </x:c>
      <x:c r="K69" s="23"/>
    </x:row>
    <x:row r="70">
      <x:c r="A70" s="29"/>
      <x:c r="B70" s="23"/>
      <x:c r="C70" s="23"/>
      <x:c r="D70" s="23" t="str">
        <x:f>IFERROR(VLOOKUP(C70,'Recipes'!$A$5:$P$100,2,FALSE),"")</x:f>
      </x:c>
      <x:c r="E70" s="26"/>
      <x:c r="F70" s="26" t="n">
        <x:f>IFERROR(E70*VLOOKUP(C70,'Recipes'!$A$5:$P$100,15,FALSE),0)</x:f>
        <x:v>0</x:v>
      </x:c>
      <x:c r="G70" s="26" t="n">
        <x:f>IFERROR(E70*VLOOKUP(C70,'Recipes'!$A$5:$P$100,12,FALSE)/VLOOKUP(C70,'Recipes'!$A$5:$P$100,7,FALSE),0)</x:f>
        <x:v>0</x:v>
      </x:c>
      <x:c r="H70" s="26" t="n">
        <x:f>IFERROR(E70*VLOOKUP(C70,'Recipes'!$A$5:$P$100,13,FALSE)/VLOOKUP(C70,'Recipes'!$A$5:$P$100,7,FALSE),0)</x:f>
        <x:v>0</x:v>
      </x:c>
      <x:c r="I70" s="26" t="n">
        <x:f>IFERROR(E70*VLOOKUP(C70,'Recipes'!$A$5:$P$100,14,FALSE)/VLOOKUP(C70,'Recipes'!$A$5:$P$100,7,FALSE),0)</x:f>
        <x:v>0</x:v>
      </x:c>
      <x:c r="J70" s="26" t="n">
        <x:f>IFERROR(E70*VLOOKUP(C70,'Recipes'!$A$5:$P$100,10,FALSE),0)</x:f>
        <x:v>0</x:v>
      </x:c>
      <x:c r="K70" s="23"/>
    </x:row>
    <x:row r="71">
      <x:c r="A71" s="29"/>
      <x:c r="B71" s="23"/>
      <x:c r="C71" s="23"/>
      <x:c r="D71" s="23" t="str">
        <x:f>IFERROR(VLOOKUP(C71,'Recipes'!$A$5:$P$100,2,FALSE),"")</x:f>
      </x:c>
      <x:c r="E71" s="26"/>
      <x:c r="F71" s="26" t="n">
        <x:f>IFERROR(E71*VLOOKUP(C71,'Recipes'!$A$5:$P$100,15,FALSE),0)</x:f>
        <x:v>0</x:v>
      </x:c>
      <x:c r="G71" s="26" t="n">
        <x:f>IFERROR(E71*VLOOKUP(C71,'Recipes'!$A$5:$P$100,12,FALSE)/VLOOKUP(C71,'Recipes'!$A$5:$P$100,7,FALSE),0)</x:f>
        <x:v>0</x:v>
      </x:c>
      <x:c r="H71" s="26" t="n">
        <x:f>IFERROR(E71*VLOOKUP(C71,'Recipes'!$A$5:$P$100,13,FALSE)/VLOOKUP(C71,'Recipes'!$A$5:$P$100,7,FALSE),0)</x:f>
        <x:v>0</x:v>
      </x:c>
      <x:c r="I71" s="26" t="n">
        <x:f>IFERROR(E71*VLOOKUP(C71,'Recipes'!$A$5:$P$100,14,FALSE)/VLOOKUP(C71,'Recipes'!$A$5:$P$100,7,FALSE),0)</x:f>
        <x:v>0</x:v>
      </x:c>
      <x:c r="J71" s="26" t="n">
        <x:f>IFERROR(E71*VLOOKUP(C71,'Recipes'!$A$5:$P$100,10,FALSE),0)</x:f>
        <x:v>0</x:v>
      </x:c>
      <x:c r="K71" s="23"/>
    </x:row>
    <x:row r="72">
      <x:c r="A72" s="29"/>
      <x:c r="B72" s="23"/>
      <x:c r="C72" s="23"/>
      <x:c r="D72" s="23" t="str">
        <x:f>IFERROR(VLOOKUP(C72,'Recipes'!$A$5:$P$100,2,FALSE),"")</x:f>
      </x:c>
      <x:c r="E72" s="26"/>
      <x:c r="F72" s="26" t="n">
        <x:f>IFERROR(E72*VLOOKUP(C72,'Recipes'!$A$5:$P$100,15,FALSE),0)</x:f>
        <x:v>0</x:v>
      </x:c>
      <x:c r="G72" s="26" t="n">
        <x:f>IFERROR(E72*VLOOKUP(C72,'Recipes'!$A$5:$P$100,12,FALSE)/VLOOKUP(C72,'Recipes'!$A$5:$P$100,7,FALSE),0)</x:f>
        <x:v>0</x:v>
      </x:c>
      <x:c r="H72" s="26" t="n">
        <x:f>IFERROR(E72*VLOOKUP(C72,'Recipes'!$A$5:$P$100,13,FALSE)/VLOOKUP(C72,'Recipes'!$A$5:$P$100,7,FALSE),0)</x:f>
        <x:v>0</x:v>
      </x:c>
      <x:c r="I72" s="26" t="n">
        <x:f>IFERROR(E72*VLOOKUP(C72,'Recipes'!$A$5:$P$100,14,FALSE)/VLOOKUP(C72,'Recipes'!$A$5:$P$100,7,FALSE),0)</x:f>
        <x:v>0</x:v>
      </x:c>
      <x:c r="J72" s="26" t="n">
        <x:f>IFERROR(E72*VLOOKUP(C72,'Recipes'!$A$5:$P$100,10,FALSE),0)</x:f>
        <x:v>0</x:v>
      </x:c>
      <x:c r="K72" s="23"/>
    </x:row>
    <x:row r="73">
      <x:c r="A73" s="29"/>
      <x:c r="B73" s="23"/>
      <x:c r="C73" s="23"/>
      <x:c r="D73" s="23" t="str">
        <x:f>IFERROR(VLOOKUP(C73,'Recipes'!$A$5:$P$100,2,FALSE),"")</x:f>
      </x:c>
      <x:c r="E73" s="26"/>
      <x:c r="F73" s="26" t="n">
        <x:f>IFERROR(E73*VLOOKUP(C73,'Recipes'!$A$5:$P$100,15,FALSE),0)</x:f>
        <x:v>0</x:v>
      </x:c>
      <x:c r="G73" s="26" t="n">
        <x:f>IFERROR(E73*VLOOKUP(C73,'Recipes'!$A$5:$P$100,12,FALSE)/VLOOKUP(C73,'Recipes'!$A$5:$P$100,7,FALSE),0)</x:f>
        <x:v>0</x:v>
      </x:c>
      <x:c r="H73" s="26" t="n">
        <x:f>IFERROR(E73*VLOOKUP(C73,'Recipes'!$A$5:$P$100,13,FALSE)/VLOOKUP(C73,'Recipes'!$A$5:$P$100,7,FALSE),0)</x:f>
        <x:v>0</x:v>
      </x:c>
      <x:c r="I73" s="26" t="n">
        <x:f>IFERROR(E73*VLOOKUP(C73,'Recipes'!$A$5:$P$100,14,FALSE)/VLOOKUP(C73,'Recipes'!$A$5:$P$100,7,FALSE),0)</x:f>
        <x:v>0</x:v>
      </x:c>
      <x:c r="J73" s="26" t="n">
        <x:f>IFERROR(E73*VLOOKUP(C73,'Recipes'!$A$5:$P$100,10,FALSE),0)</x:f>
        <x:v>0</x:v>
      </x:c>
      <x:c r="K73" s="23"/>
    </x:row>
    <x:row r="74">
      <x:c r="A74" s="29"/>
      <x:c r="B74" s="23"/>
      <x:c r="C74" s="23"/>
      <x:c r="D74" s="23" t="str">
        <x:f>IFERROR(VLOOKUP(C74,'Recipes'!$A$5:$P$100,2,FALSE),"")</x:f>
      </x:c>
      <x:c r="E74" s="26"/>
      <x:c r="F74" s="26" t="n">
        <x:f>IFERROR(E74*VLOOKUP(C74,'Recipes'!$A$5:$P$100,15,FALSE),0)</x:f>
        <x:v>0</x:v>
      </x:c>
      <x:c r="G74" s="26" t="n">
        <x:f>IFERROR(E74*VLOOKUP(C74,'Recipes'!$A$5:$P$100,12,FALSE)/VLOOKUP(C74,'Recipes'!$A$5:$P$100,7,FALSE),0)</x:f>
        <x:v>0</x:v>
      </x:c>
      <x:c r="H74" s="26" t="n">
        <x:f>IFERROR(E74*VLOOKUP(C74,'Recipes'!$A$5:$P$100,13,FALSE)/VLOOKUP(C74,'Recipes'!$A$5:$P$100,7,FALSE),0)</x:f>
        <x:v>0</x:v>
      </x:c>
      <x:c r="I74" s="26" t="n">
        <x:f>IFERROR(E74*VLOOKUP(C74,'Recipes'!$A$5:$P$100,14,FALSE)/VLOOKUP(C74,'Recipes'!$A$5:$P$100,7,FALSE),0)</x:f>
        <x:v>0</x:v>
      </x:c>
      <x:c r="J74" s="26" t="n">
        <x:f>IFERROR(E74*VLOOKUP(C74,'Recipes'!$A$5:$P$100,10,FALSE),0)</x:f>
        <x:v>0</x:v>
      </x:c>
      <x:c r="K74" s="23"/>
    </x:row>
    <x:row r="75">
      <x:c r="A75" s="29"/>
      <x:c r="B75" s="23"/>
      <x:c r="C75" s="23"/>
      <x:c r="D75" s="23" t="str">
        <x:f>IFERROR(VLOOKUP(C75,'Recipes'!$A$5:$P$100,2,FALSE),"")</x:f>
      </x:c>
      <x:c r="E75" s="26"/>
      <x:c r="F75" s="26" t="n">
        <x:f>IFERROR(E75*VLOOKUP(C75,'Recipes'!$A$5:$P$100,15,FALSE),0)</x:f>
        <x:v>0</x:v>
      </x:c>
      <x:c r="G75" s="26" t="n">
        <x:f>IFERROR(E75*VLOOKUP(C75,'Recipes'!$A$5:$P$100,12,FALSE)/VLOOKUP(C75,'Recipes'!$A$5:$P$100,7,FALSE),0)</x:f>
        <x:v>0</x:v>
      </x:c>
      <x:c r="H75" s="26" t="n">
        <x:f>IFERROR(E75*VLOOKUP(C75,'Recipes'!$A$5:$P$100,13,FALSE)/VLOOKUP(C75,'Recipes'!$A$5:$P$100,7,FALSE),0)</x:f>
        <x:v>0</x:v>
      </x:c>
      <x:c r="I75" s="26" t="n">
        <x:f>IFERROR(E75*VLOOKUP(C75,'Recipes'!$A$5:$P$100,14,FALSE)/VLOOKUP(C75,'Recipes'!$A$5:$P$100,7,FALSE),0)</x:f>
        <x:v>0</x:v>
      </x:c>
      <x:c r="J75" s="26" t="n">
        <x:f>IFERROR(E75*VLOOKUP(C75,'Recipes'!$A$5:$P$100,10,FALSE),0)</x:f>
        <x:v>0</x:v>
      </x:c>
      <x:c r="K75" s="23"/>
    </x:row>
    <x:row r="76">
      <x:c r="A76" s="29"/>
      <x:c r="B76" s="23"/>
      <x:c r="C76" s="23"/>
      <x:c r="D76" s="23" t="str">
        <x:f>IFERROR(VLOOKUP(C76,'Recipes'!$A$5:$P$100,2,FALSE),"")</x:f>
      </x:c>
      <x:c r="E76" s="26"/>
      <x:c r="F76" s="26" t="n">
        <x:f>IFERROR(E76*VLOOKUP(C76,'Recipes'!$A$5:$P$100,15,FALSE),0)</x:f>
        <x:v>0</x:v>
      </x:c>
      <x:c r="G76" s="26" t="n">
        <x:f>IFERROR(E76*VLOOKUP(C76,'Recipes'!$A$5:$P$100,12,FALSE)/VLOOKUP(C76,'Recipes'!$A$5:$P$100,7,FALSE),0)</x:f>
        <x:v>0</x:v>
      </x:c>
      <x:c r="H76" s="26" t="n">
        <x:f>IFERROR(E76*VLOOKUP(C76,'Recipes'!$A$5:$P$100,13,FALSE)/VLOOKUP(C76,'Recipes'!$A$5:$P$100,7,FALSE),0)</x:f>
        <x:v>0</x:v>
      </x:c>
      <x:c r="I76" s="26" t="n">
        <x:f>IFERROR(E76*VLOOKUP(C76,'Recipes'!$A$5:$P$100,14,FALSE)/VLOOKUP(C76,'Recipes'!$A$5:$P$100,7,FALSE),0)</x:f>
        <x:v>0</x:v>
      </x:c>
      <x:c r="J76" s="26" t="n">
        <x:f>IFERROR(E76*VLOOKUP(C76,'Recipes'!$A$5:$P$100,10,FALSE),0)</x:f>
        <x:v>0</x:v>
      </x:c>
      <x:c r="K76" s="23"/>
    </x:row>
    <x:row r="77">
      <x:c r="A77" s="29"/>
      <x:c r="B77" s="23"/>
      <x:c r="C77" s="23"/>
      <x:c r="D77" s="23" t="str">
        <x:f>IFERROR(VLOOKUP(C77,'Recipes'!$A$5:$P$100,2,FALSE),"")</x:f>
      </x:c>
      <x:c r="E77" s="26"/>
      <x:c r="F77" s="26" t="n">
        <x:f>IFERROR(E77*VLOOKUP(C77,'Recipes'!$A$5:$P$100,15,FALSE),0)</x:f>
        <x:v>0</x:v>
      </x:c>
      <x:c r="G77" s="26" t="n">
        <x:f>IFERROR(E77*VLOOKUP(C77,'Recipes'!$A$5:$P$100,12,FALSE)/VLOOKUP(C77,'Recipes'!$A$5:$P$100,7,FALSE),0)</x:f>
        <x:v>0</x:v>
      </x:c>
      <x:c r="H77" s="26" t="n">
        <x:f>IFERROR(E77*VLOOKUP(C77,'Recipes'!$A$5:$P$100,13,FALSE)/VLOOKUP(C77,'Recipes'!$A$5:$P$100,7,FALSE),0)</x:f>
        <x:v>0</x:v>
      </x:c>
      <x:c r="I77" s="26" t="n">
        <x:f>IFERROR(E77*VLOOKUP(C77,'Recipes'!$A$5:$P$100,14,FALSE)/VLOOKUP(C77,'Recipes'!$A$5:$P$100,7,FALSE),0)</x:f>
        <x:v>0</x:v>
      </x:c>
      <x:c r="J77" s="26" t="n">
        <x:f>IFERROR(E77*VLOOKUP(C77,'Recipes'!$A$5:$P$100,10,FALSE),0)</x:f>
        <x:v>0</x:v>
      </x:c>
      <x:c r="K77" s="23"/>
    </x:row>
    <x:row r="78">
      <x:c r="A78" s="29"/>
      <x:c r="B78" s="23"/>
      <x:c r="C78" s="23"/>
      <x:c r="D78" s="23" t="str">
        <x:f>IFERROR(VLOOKUP(C78,'Recipes'!$A$5:$P$100,2,FALSE),"")</x:f>
      </x:c>
      <x:c r="E78" s="26"/>
      <x:c r="F78" s="26" t="n">
        <x:f>IFERROR(E78*VLOOKUP(C78,'Recipes'!$A$5:$P$100,15,FALSE),0)</x:f>
        <x:v>0</x:v>
      </x:c>
      <x:c r="G78" s="26" t="n">
        <x:f>IFERROR(E78*VLOOKUP(C78,'Recipes'!$A$5:$P$100,12,FALSE)/VLOOKUP(C78,'Recipes'!$A$5:$P$100,7,FALSE),0)</x:f>
        <x:v>0</x:v>
      </x:c>
      <x:c r="H78" s="26" t="n">
        <x:f>IFERROR(E78*VLOOKUP(C78,'Recipes'!$A$5:$P$100,13,FALSE)/VLOOKUP(C78,'Recipes'!$A$5:$P$100,7,FALSE),0)</x:f>
        <x:v>0</x:v>
      </x:c>
      <x:c r="I78" s="26" t="n">
        <x:f>IFERROR(E78*VLOOKUP(C78,'Recipes'!$A$5:$P$100,14,FALSE)/VLOOKUP(C78,'Recipes'!$A$5:$P$100,7,FALSE),0)</x:f>
        <x:v>0</x:v>
      </x:c>
      <x:c r="J78" s="26" t="n">
        <x:f>IFERROR(E78*VLOOKUP(C78,'Recipes'!$A$5:$P$100,10,FALSE),0)</x:f>
        <x:v>0</x:v>
      </x:c>
      <x:c r="K78" s="23"/>
    </x:row>
    <x:row r="79">
      <x:c r="A79" s="29"/>
      <x:c r="B79" s="23"/>
      <x:c r="C79" s="23"/>
      <x:c r="D79" s="23" t="str">
        <x:f>IFERROR(VLOOKUP(C79,'Recipes'!$A$5:$P$100,2,FALSE),"")</x:f>
      </x:c>
      <x:c r="E79" s="26"/>
      <x:c r="F79" s="26" t="n">
        <x:f>IFERROR(E79*VLOOKUP(C79,'Recipes'!$A$5:$P$100,15,FALSE),0)</x:f>
        <x:v>0</x:v>
      </x:c>
      <x:c r="G79" s="26" t="n">
        <x:f>IFERROR(E79*VLOOKUP(C79,'Recipes'!$A$5:$P$100,12,FALSE)/VLOOKUP(C79,'Recipes'!$A$5:$P$100,7,FALSE),0)</x:f>
        <x:v>0</x:v>
      </x:c>
      <x:c r="H79" s="26" t="n">
        <x:f>IFERROR(E79*VLOOKUP(C79,'Recipes'!$A$5:$P$100,13,FALSE)/VLOOKUP(C79,'Recipes'!$A$5:$P$100,7,FALSE),0)</x:f>
        <x:v>0</x:v>
      </x:c>
      <x:c r="I79" s="26" t="n">
        <x:f>IFERROR(E79*VLOOKUP(C79,'Recipes'!$A$5:$P$100,14,FALSE)/VLOOKUP(C79,'Recipes'!$A$5:$P$100,7,FALSE),0)</x:f>
        <x:v>0</x:v>
      </x:c>
      <x:c r="J79" s="26" t="n">
        <x:f>IFERROR(E79*VLOOKUP(C79,'Recipes'!$A$5:$P$100,10,FALSE),0)</x:f>
        <x:v>0</x:v>
      </x:c>
      <x:c r="K79" s="23"/>
    </x:row>
    <x:row r="80">
      <x:c r="A80" s="29"/>
      <x:c r="B80" s="23"/>
      <x:c r="C80" s="23"/>
      <x:c r="D80" s="23" t="str">
        <x:f>IFERROR(VLOOKUP(C80,'Recipes'!$A$5:$P$100,2,FALSE),"")</x:f>
      </x:c>
      <x:c r="E80" s="26"/>
      <x:c r="F80" s="26" t="n">
        <x:f>IFERROR(E80*VLOOKUP(C80,'Recipes'!$A$5:$P$100,15,FALSE),0)</x:f>
        <x:v>0</x:v>
      </x:c>
      <x:c r="G80" s="26" t="n">
        <x:f>IFERROR(E80*VLOOKUP(C80,'Recipes'!$A$5:$P$100,12,FALSE)/VLOOKUP(C80,'Recipes'!$A$5:$P$100,7,FALSE),0)</x:f>
        <x:v>0</x:v>
      </x:c>
      <x:c r="H80" s="26" t="n">
        <x:f>IFERROR(E80*VLOOKUP(C80,'Recipes'!$A$5:$P$100,13,FALSE)/VLOOKUP(C80,'Recipes'!$A$5:$P$100,7,FALSE),0)</x:f>
        <x:v>0</x:v>
      </x:c>
      <x:c r="I80" s="26" t="n">
        <x:f>IFERROR(E80*VLOOKUP(C80,'Recipes'!$A$5:$P$100,14,FALSE)/VLOOKUP(C80,'Recipes'!$A$5:$P$100,7,FALSE),0)</x:f>
        <x:v>0</x:v>
      </x:c>
      <x:c r="J80" s="26" t="n">
        <x:f>IFERROR(E80*VLOOKUP(C80,'Recipes'!$A$5:$P$100,10,FALSE),0)</x:f>
        <x:v>0</x:v>
      </x:c>
      <x:c r="K80" s="23"/>
    </x:row>
    <x:row r="81">
      <x:c r="A81" s="29"/>
      <x:c r="B81" s="23"/>
      <x:c r="C81" s="23"/>
      <x:c r="D81" s="23" t="str">
        <x:f>IFERROR(VLOOKUP(C81,'Recipes'!$A$5:$P$100,2,FALSE),"")</x:f>
      </x:c>
      <x:c r="E81" s="26"/>
      <x:c r="F81" s="26" t="n">
        <x:f>IFERROR(E81*VLOOKUP(C81,'Recipes'!$A$5:$P$100,15,FALSE),0)</x:f>
        <x:v>0</x:v>
      </x:c>
      <x:c r="G81" s="26" t="n">
        <x:f>IFERROR(E81*VLOOKUP(C81,'Recipes'!$A$5:$P$100,12,FALSE)/VLOOKUP(C81,'Recipes'!$A$5:$P$100,7,FALSE),0)</x:f>
        <x:v>0</x:v>
      </x:c>
      <x:c r="H81" s="26" t="n">
        <x:f>IFERROR(E81*VLOOKUP(C81,'Recipes'!$A$5:$P$100,13,FALSE)/VLOOKUP(C81,'Recipes'!$A$5:$P$100,7,FALSE),0)</x:f>
        <x:v>0</x:v>
      </x:c>
      <x:c r="I81" s="26" t="n">
        <x:f>IFERROR(E81*VLOOKUP(C81,'Recipes'!$A$5:$P$100,14,FALSE)/VLOOKUP(C81,'Recipes'!$A$5:$P$100,7,FALSE),0)</x:f>
        <x:v>0</x:v>
      </x:c>
      <x:c r="J81" s="26" t="n">
        <x:f>IFERROR(E81*VLOOKUP(C81,'Recipes'!$A$5:$P$100,10,FALSE),0)</x:f>
        <x:v>0</x:v>
      </x:c>
      <x:c r="K81" s="23"/>
    </x:row>
    <x:row r="82">
      <x:c r="A82" s="29"/>
      <x:c r="B82" s="23"/>
      <x:c r="C82" s="23"/>
      <x:c r="D82" s="23" t="str">
        <x:f>IFERROR(VLOOKUP(C82,'Recipes'!$A$5:$P$100,2,FALSE),"")</x:f>
      </x:c>
      <x:c r="E82" s="26"/>
      <x:c r="F82" s="26" t="n">
        <x:f>IFERROR(E82*VLOOKUP(C82,'Recipes'!$A$5:$P$100,15,FALSE),0)</x:f>
        <x:v>0</x:v>
      </x:c>
      <x:c r="G82" s="26" t="n">
        <x:f>IFERROR(E82*VLOOKUP(C82,'Recipes'!$A$5:$P$100,12,FALSE)/VLOOKUP(C82,'Recipes'!$A$5:$P$100,7,FALSE),0)</x:f>
        <x:v>0</x:v>
      </x:c>
      <x:c r="H82" s="26" t="n">
        <x:f>IFERROR(E82*VLOOKUP(C82,'Recipes'!$A$5:$P$100,13,FALSE)/VLOOKUP(C82,'Recipes'!$A$5:$P$100,7,FALSE),0)</x:f>
        <x:v>0</x:v>
      </x:c>
      <x:c r="I82" s="26" t="n">
        <x:f>IFERROR(E82*VLOOKUP(C82,'Recipes'!$A$5:$P$100,14,FALSE)/VLOOKUP(C82,'Recipes'!$A$5:$P$100,7,FALSE),0)</x:f>
        <x:v>0</x:v>
      </x:c>
      <x:c r="J82" s="26" t="n">
        <x:f>IFERROR(E82*VLOOKUP(C82,'Recipes'!$A$5:$P$100,10,FALSE),0)</x:f>
        <x:v>0</x:v>
      </x:c>
      <x:c r="K82" s="23"/>
    </x:row>
    <x:row r="83">
      <x:c r="A83" s="29"/>
      <x:c r="B83" s="23"/>
      <x:c r="C83" s="23"/>
      <x:c r="D83" s="23" t="str">
        <x:f>IFERROR(VLOOKUP(C83,'Recipes'!$A$5:$P$100,2,FALSE),"")</x:f>
      </x:c>
      <x:c r="E83" s="26"/>
      <x:c r="F83" s="26" t="n">
        <x:f>IFERROR(E83*VLOOKUP(C83,'Recipes'!$A$5:$P$100,15,FALSE),0)</x:f>
        <x:v>0</x:v>
      </x:c>
      <x:c r="G83" s="26" t="n">
        <x:f>IFERROR(E83*VLOOKUP(C83,'Recipes'!$A$5:$P$100,12,FALSE)/VLOOKUP(C83,'Recipes'!$A$5:$P$100,7,FALSE),0)</x:f>
        <x:v>0</x:v>
      </x:c>
      <x:c r="H83" s="26" t="n">
        <x:f>IFERROR(E83*VLOOKUP(C83,'Recipes'!$A$5:$P$100,13,FALSE)/VLOOKUP(C83,'Recipes'!$A$5:$P$100,7,FALSE),0)</x:f>
        <x:v>0</x:v>
      </x:c>
      <x:c r="I83" s="26" t="n">
        <x:f>IFERROR(E83*VLOOKUP(C83,'Recipes'!$A$5:$P$100,14,FALSE)/VLOOKUP(C83,'Recipes'!$A$5:$P$100,7,FALSE),0)</x:f>
        <x:v>0</x:v>
      </x:c>
      <x:c r="J83" s="26" t="n">
        <x:f>IFERROR(E83*VLOOKUP(C83,'Recipes'!$A$5:$P$100,10,FALSE),0)</x:f>
        <x:v>0</x:v>
      </x:c>
      <x:c r="K83" s="23"/>
    </x:row>
    <x:row r="84">
      <x:c r="A84" s="29"/>
      <x:c r="B84" s="23"/>
      <x:c r="C84" s="23"/>
      <x:c r="D84" s="23" t="str">
        <x:f>IFERROR(VLOOKUP(C84,'Recipes'!$A$5:$P$100,2,FALSE),"")</x:f>
      </x:c>
      <x:c r="E84" s="26"/>
      <x:c r="F84" s="26" t="n">
        <x:f>IFERROR(E84*VLOOKUP(C84,'Recipes'!$A$5:$P$100,15,FALSE),0)</x:f>
        <x:v>0</x:v>
      </x:c>
      <x:c r="G84" s="26" t="n">
        <x:f>IFERROR(E84*VLOOKUP(C84,'Recipes'!$A$5:$P$100,12,FALSE)/VLOOKUP(C84,'Recipes'!$A$5:$P$100,7,FALSE),0)</x:f>
        <x:v>0</x:v>
      </x:c>
      <x:c r="H84" s="26" t="n">
        <x:f>IFERROR(E84*VLOOKUP(C84,'Recipes'!$A$5:$P$100,13,FALSE)/VLOOKUP(C84,'Recipes'!$A$5:$P$100,7,FALSE),0)</x:f>
        <x:v>0</x:v>
      </x:c>
      <x:c r="I84" s="26" t="n">
        <x:f>IFERROR(E84*VLOOKUP(C84,'Recipes'!$A$5:$P$100,14,FALSE)/VLOOKUP(C84,'Recipes'!$A$5:$P$100,7,FALSE),0)</x:f>
        <x:v>0</x:v>
      </x:c>
      <x:c r="J84" s="26" t="n">
        <x:f>IFERROR(E84*VLOOKUP(C84,'Recipes'!$A$5:$P$100,10,FALSE),0)</x:f>
        <x:v>0</x:v>
      </x:c>
      <x:c r="K84" s="23"/>
    </x:row>
    <x:row r="85">
      <x:c r="A85" s="29"/>
      <x:c r="B85" s="23"/>
      <x:c r="C85" s="23"/>
      <x:c r="D85" s="23" t="str">
        <x:f>IFERROR(VLOOKUP(C85,'Recipes'!$A$5:$P$100,2,FALSE),"")</x:f>
      </x:c>
      <x:c r="E85" s="26"/>
      <x:c r="F85" s="26" t="n">
        <x:f>IFERROR(E85*VLOOKUP(C85,'Recipes'!$A$5:$P$100,15,FALSE),0)</x:f>
        <x:v>0</x:v>
      </x:c>
      <x:c r="G85" s="26" t="n">
        <x:f>IFERROR(E85*VLOOKUP(C85,'Recipes'!$A$5:$P$100,12,FALSE)/VLOOKUP(C85,'Recipes'!$A$5:$P$100,7,FALSE),0)</x:f>
        <x:v>0</x:v>
      </x:c>
      <x:c r="H85" s="26" t="n">
        <x:f>IFERROR(E85*VLOOKUP(C85,'Recipes'!$A$5:$P$100,13,FALSE)/VLOOKUP(C85,'Recipes'!$A$5:$P$100,7,FALSE),0)</x:f>
        <x:v>0</x:v>
      </x:c>
      <x:c r="I85" s="26" t="n">
        <x:f>IFERROR(E85*VLOOKUP(C85,'Recipes'!$A$5:$P$100,14,FALSE)/VLOOKUP(C85,'Recipes'!$A$5:$P$100,7,FALSE),0)</x:f>
        <x:v>0</x:v>
      </x:c>
      <x:c r="J85" s="26" t="n">
        <x:f>IFERROR(E85*VLOOKUP(C85,'Recipes'!$A$5:$P$100,10,FALSE),0)</x:f>
        <x:v>0</x:v>
      </x:c>
      <x:c r="K85" s="23"/>
    </x:row>
    <x:row r="86">
      <x:c r="A86" s="29"/>
      <x:c r="B86" s="23"/>
      <x:c r="C86" s="23"/>
      <x:c r="D86" s="23" t="str">
        <x:f>IFERROR(VLOOKUP(C86,'Recipes'!$A$5:$P$100,2,FALSE),"")</x:f>
      </x:c>
      <x:c r="E86" s="26"/>
      <x:c r="F86" s="26" t="n">
        <x:f>IFERROR(E86*VLOOKUP(C86,'Recipes'!$A$5:$P$100,15,FALSE),0)</x:f>
        <x:v>0</x:v>
      </x:c>
      <x:c r="G86" s="26" t="n">
        <x:f>IFERROR(E86*VLOOKUP(C86,'Recipes'!$A$5:$P$100,12,FALSE)/VLOOKUP(C86,'Recipes'!$A$5:$P$100,7,FALSE),0)</x:f>
        <x:v>0</x:v>
      </x:c>
      <x:c r="H86" s="26" t="n">
        <x:f>IFERROR(E86*VLOOKUP(C86,'Recipes'!$A$5:$P$100,13,FALSE)/VLOOKUP(C86,'Recipes'!$A$5:$P$100,7,FALSE),0)</x:f>
        <x:v>0</x:v>
      </x:c>
      <x:c r="I86" s="26" t="n">
        <x:f>IFERROR(E86*VLOOKUP(C86,'Recipes'!$A$5:$P$100,14,FALSE)/VLOOKUP(C86,'Recipes'!$A$5:$P$100,7,FALSE),0)</x:f>
        <x:v>0</x:v>
      </x:c>
      <x:c r="J86" s="26" t="n">
        <x:f>IFERROR(E86*VLOOKUP(C86,'Recipes'!$A$5:$P$100,10,FALSE),0)</x:f>
        <x:v>0</x:v>
      </x:c>
      <x:c r="K86" s="23"/>
    </x:row>
    <x:row r="87">
      <x:c r="A87" s="29"/>
      <x:c r="B87" s="23"/>
      <x:c r="C87" s="23"/>
      <x:c r="D87" s="23" t="str">
        <x:f>IFERROR(VLOOKUP(C87,'Recipes'!$A$5:$P$100,2,FALSE),"")</x:f>
      </x:c>
      <x:c r="E87" s="26"/>
      <x:c r="F87" s="26" t="n">
        <x:f>IFERROR(E87*VLOOKUP(C87,'Recipes'!$A$5:$P$100,15,FALSE),0)</x:f>
        <x:v>0</x:v>
      </x:c>
      <x:c r="G87" s="26" t="n">
        <x:f>IFERROR(E87*VLOOKUP(C87,'Recipes'!$A$5:$P$100,12,FALSE)/VLOOKUP(C87,'Recipes'!$A$5:$P$100,7,FALSE),0)</x:f>
        <x:v>0</x:v>
      </x:c>
      <x:c r="H87" s="26" t="n">
        <x:f>IFERROR(E87*VLOOKUP(C87,'Recipes'!$A$5:$P$100,13,FALSE)/VLOOKUP(C87,'Recipes'!$A$5:$P$100,7,FALSE),0)</x:f>
        <x:v>0</x:v>
      </x:c>
      <x:c r="I87" s="26" t="n">
        <x:f>IFERROR(E87*VLOOKUP(C87,'Recipes'!$A$5:$P$100,14,FALSE)/VLOOKUP(C87,'Recipes'!$A$5:$P$100,7,FALSE),0)</x:f>
        <x:v>0</x:v>
      </x:c>
      <x:c r="J87" s="26" t="n">
        <x:f>IFERROR(E87*VLOOKUP(C87,'Recipes'!$A$5:$P$100,10,FALSE),0)</x:f>
        <x:v>0</x:v>
      </x:c>
      <x:c r="K87" s="23"/>
    </x:row>
    <x:row r="88">
      <x:c r="A88" s="29"/>
      <x:c r="B88" s="23"/>
      <x:c r="C88" s="23"/>
      <x:c r="D88" s="23" t="str">
        <x:f>IFERROR(VLOOKUP(C88,'Recipes'!$A$5:$P$100,2,FALSE),"")</x:f>
      </x:c>
      <x:c r="E88" s="26"/>
      <x:c r="F88" s="26" t="n">
        <x:f>IFERROR(E88*VLOOKUP(C88,'Recipes'!$A$5:$P$100,15,FALSE),0)</x:f>
        <x:v>0</x:v>
      </x:c>
      <x:c r="G88" s="26" t="n">
        <x:f>IFERROR(E88*VLOOKUP(C88,'Recipes'!$A$5:$P$100,12,FALSE)/VLOOKUP(C88,'Recipes'!$A$5:$P$100,7,FALSE),0)</x:f>
        <x:v>0</x:v>
      </x:c>
      <x:c r="H88" s="26" t="n">
        <x:f>IFERROR(E88*VLOOKUP(C88,'Recipes'!$A$5:$P$100,13,FALSE)/VLOOKUP(C88,'Recipes'!$A$5:$P$100,7,FALSE),0)</x:f>
        <x:v>0</x:v>
      </x:c>
      <x:c r="I88" s="26" t="n">
        <x:f>IFERROR(E88*VLOOKUP(C88,'Recipes'!$A$5:$P$100,14,FALSE)/VLOOKUP(C88,'Recipes'!$A$5:$P$100,7,FALSE),0)</x:f>
        <x:v>0</x:v>
      </x:c>
      <x:c r="J88" s="26" t="n">
        <x:f>IFERROR(E88*VLOOKUP(C88,'Recipes'!$A$5:$P$100,10,FALSE),0)</x:f>
        <x:v>0</x:v>
      </x:c>
      <x:c r="K88" s="23"/>
    </x:row>
    <x:row r="89">
      <x:c r="A89" s="29"/>
      <x:c r="B89" s="23"/>
      <x:c r="C89" s="23"/>
      <x:c r="D89" s="23" t="str">
        <x:f>IFERROR(VLOOKUP(C89,'Recipes'!$A$5:$P$100,2,FALSE),"")</x:f>
      </x:c>
      <x:c r="E89" s="26"/>
      <x:c r="F89" s="26" t="n">
        <x:f>IFERROR(E89*VLOOKUP(C89,'Recipes'!$A$5:$P$100,15,FALSE),0)</x:f>
        <x:v>0</x:v>
      </x:c>
      <x:c r="G89" s="26" t="n">
        <x:f>IFERROR(E89*VLOOKUP(C89,'Recipes'!$A$5:$P$100,12,FALSE)/VLOOKUP(C89,'Recipes'!$A$5:$P$100,7,FALSE),0)</x:f>
        <x:v>0</x:v>
      </x:c>
      <x:c r="H89" s="26" t="n">
        <x:f>IFERROR(E89*VLOOKUP(C89,'Recipes'!$A$5:$P$100,13,FALSE)/VLOOKUP(C89,'Recipes'!$A$5:$P$100,7,FALSE),0)</x:f>
        <x:v>0</x:v>
      </x:c>
      <x:c r="I89" s="26" t="n">
        <x:f>IFERROR(E89*VLOOKUP(C89,'Recipes'!$A$5:$P$100,14,FALSE)/VLOOKUP(C89,'Recipes'!$A$5:$P$100,7,FALSE),0)</x:f>
        <x:v>0</x:v>
      </x:c>
      <x:c r="J89" s="26" t="n">
        <x:f>IFERROR(E89*VLOOKUP(C89,'Recipes'!$A$5:$P$100,10,FALSE),0)</x:f>
        <x:v>0</x:v>
      </x:c>
      <x:c r="K89" s="23"/>
    </x:row>
    <x:row r="90">
      <x:c r="A90" s="29"/>
      <x:c r="B90" s="23"/>
      <x:c r="C90" s="23"/>
      <x:c r="D90" s="23" t="str">
        <x:f>IFERROR(VLOOKUP(C90,'Recipes'!$A$5:$P$100,2,FALSE),"")</x:f>
      </x:c>
      <x:c r="E90" s="26"/>
      <x:c r="F90" s="26" t="n">
        <x:f>IFERROR(E90*VLOOKUP(C90,'Recipes'!$A$5:$P$100,15,FALSE),0)</x:f>
        <x:v>0</x:v>
      </x:c>
      <x:c r="G90" s="26" t="n">
        <x:f>IFERROR(E90*VLOOKUP(C90,'Recipes'!$A$5:$P$100,12,FALSE)/VLOOKUP(C90,'Recipes'!$A$5:$P$100,7,FALSE),0)</x:f>
        <x:v>0</x:v>
      </x:c>
      <x:c r="H90" s="26" t="n">
        <x:f>IFERROR(E90*VLOOKUP(C90,'Recipes'!$A$5:$P$100,13,FALSE)/VLOOKUP(C90,'Recipes'!$A$5:$P$100,7,FALSE),0)</x:f>
        <x:v>0</x:v>
      </x:c>
      <x:c r="I90" s="26" t="n">
        <x:f>IFERROR(E90*VLOOKUP(C90,'Recipes'!$A$5:$P$100,14,FALSE)/VLOOKUP(C90,'Recipes'!$A$5:$P$100,7,FALSE),0)</x:f>
        <x:v>0</x:v>
      </x:c>
      <x:c r="J90" s="26" t="n">
        <x:f>IFERROR(E90*VLOOKUP(C90,'Recipes'!$A$5:$P$100,10,FALSE),0)</x:f>
        <x:v>0</x:v>
      </x:c>
      <x:c r="K90" s="23"/>
    </x:row>
    <x:row r="91">
      <x:c r="A91" s="29"/>
      <x:c r="B91" s="23"/>
      <x:c r="C91" s="23"/>
      <x:c r="D91" s="23" t="str">
        <x:f>IFERROR(VLOOKUP(C91,'Recipes'!$A$5:$P$100,2,FALSE),"")</x:f>
      </x:c>
      <x:c r="E91" s="26"/>
      <x:c r="F91" s="26" t="n">
        <x:f>IFERROR(E91*VLOOKUP(C91,'Recipes'!$A$5:$P$100,15,FALSE),0)</x:f>
        <x:v>0</x:v>
      </x:c>
      <x:c r="G91" s="26" t="n">
        <x:f>IFERROR(E91*VLOOKUP(C91,'Recipes'!$A$5:$P$100,12,FALSE)/VLOOKUP(C91,'Recipes'!$A$5:$P$100,7,FALSE),0)</x:f>
        <x:v>0</x:v>
      </x:c>
      <x:c r="H91" s="26" t="n">
        <x:f>IFERROR(E91*VLOOKUP(C91,'Recipes'!$A$5:$P$100,13,FALSE)/VLOOKUP(C91,'Recipes'!$A$5:$P$100,7,FALSE),0)</x:f>
        <x:v>0</x:v>
      </x:c>
      <x:c r="I91" s="26" t="n">
        <x:f>IFERROR(E91*VLOOKUP(C91,'Recipes'!$A$5:$P$100,14,FALSE)/VLOOKUP(C91,'Recipes'!$A$5:$P$100,7,FALSE),0)</x:f>
        <x:v>0</x:v>
      </x:c>
      <x:c r="J91" s="26" t="n">
        <x:f>IFERROR(E91*VLOOKUP(C91,'Recipes'!$A$5:$P$100,10,FALSE),0)</x:f>
        <x:v>0</x:v>
      </x:c>
      <x:c r="K91" s="23"/>
    </x:row>
    <x:row r="92">
      <x:c r="A92" s="29"/>
      <x:c r="B92" s="23"/>
      <x:c r="C92" s="23"/>
      <x:c r="D92" s="23" t="str">
        <x:f>IFERROR(VLOOKUP(C92,'Recipes'!$A$5:$P$100,2,FALSE),"")</x:f>
      </x:c>
      <x:c r="E92" s="26"/>
      <x:c r="F92" s="26" t="n">
        <x:f>IFERROR(E92*VLOOKUP(C92,'Recipes'!$A$5:$P$100,15,FALSE),0)</x:f>
        <x:v>0</x:v>
      </x:c>
      <x:c r="G92" s="26" t="n">
        <x:f>IFERROR(E92*VLOOKUP(C92,'Recipes'!$A$5:$P$100,12,FALSE)/VLOOKUP(C92,'Recipes'!$A$5:$P$100,7,FALSE),0)</x:f>
        <x:v>0</x:v>
      </x:c>
      <x:c r="H92" s="26" t="n">
        <x:f>IFERROR(E92*VLOOKUP(C92,'Recipes'!$A$5:$P$100,13,FALSE)/VLOOKUP(C92,'Recipes'!$A$5:$P$100,7,FALSE),0)</x:f>
        <x:v>0</x:v>
      </x:c>
      <x:c r="I92" s="26" t="n">
        <x:f>IFERROR(E92*VLOOKUP(C92,'Recipes'!$A$5:$P$100,14,FALSE)/VLOOKUP(C92,'Recipes'!$A$5:$P$100,7,FALSE),0)</x:f>
        <x:v>0</x:v>
      </x:c>
      <x:c r="J92" s="26" t="n">
        <x:f>IFERROR(E92*VLOOKUP(C92,'Recipes'!$A$5:$P$100,10,FALSE),0)</x:f>
        <x:v>0</x:v>
      </x:c>
      <x:c r="K92" s="23"/>
    </x:row>
    <x:row r="93">
      <x:c r="A93" s="29"/>
      <x:c r="B93" s="23"/>
      <x:c r="C93" s="23"/>
      <x:c r="D93" s="23" t="str">
        <x:f>IFERROR(VLOOKUP(C93,'Recipes'!$A$5:$P$100,2,FALSE),"")</x:f>
      </x:c>
      <x:c r="E93" s="26"/>
      <x:c r="F93" s="26" t="n">
        <x:f>IFERROR(E93*VLOOKUP(C93,'Recipes'!$A$5:$P$100,15,FALSE),0)</x:f>
        <x:v>0</x:v>
      </x:c>
      <x:c r="G93" s="26" t="n">
        <x:f>IFERROR(E93*VLOOKUP(C93,'Recipes'!$A$5:$P$100,12,FALSE)/VLOOKUP(C93,'Recipes'!$A$5:$P$100,7,FALSE),0)</x:f>
        <x:v>0</x:v>
      </x:c>
      <x:c r="H93" s="26" t="n">
        <x:f>IFERROR(E93*VLOOKUP(C93,'Recipes'!$A$5:$P$100,13,FALSE)/VLOOKUP(C93,'Recipes'!$A$5:$P$100,7,FALSE),0)</x:f>
        <x:v>0</x:v>
      </x:c>
      <x:c r="I93" s="26" t="n">
        <x:f>IFERROR(E93*VLOOKUP(C93,'Recipes'!$A$5:$P$100,14,FALSE)/VLOOKUP(C93,'Recipes'!$A$5:$P$100,7,FALSE),0)</x:f>
        <x:v>0</x:v>
      </x:c>
      <x:c r="J93" s="26" t="n">
        <x:f>IFERROR(E93*VLOOKUP(C93,'Recipes'!$A$5:$P$100,10,FALSE),0)</x:f>
        <x:v>0</x:v>
      </x:c>
      <x:c r="K93" s="23"/>
    </x:row>
    <x:row r="94">
      <x:c r="A94" s="29"/>
      <x:c r="B94" s="23"/>
      <x:c r="C94" s="23"/>
      <x:c r="D94" s="23" t="str">
        <x:f>IFERROR(VLOOKUP(C94,'Recipes'!$A$5:$P$100,2,FALSE),"")</x:f>
      </x:c>
      <x:c r="E94" s="26"/>
      <x:c r="F94" s="26" t="n">
        <x:f>IFERROR(E94*VLOOKUP(C94,'Recipes'!$A$5:$P$100,15,FALSE),0)</x:f>
        <x:v>0</x:v>
      </x:c>
      <x:c r="G94" s="26" t="n">
        <x:f>IFERROR(E94*VLOOKUP(C94,'Recipes'!$A$5:$P$100,12,FALSE)/VLOOKUP(C94,'Recipes'!$A$5:$P$100,7,FALSE),0)</x:f>
        <x:v>0</x:v>
      </x:c>
      <x:c r="H94" s="26" t="n">
        <x:f>IFERROR(E94*VLOOKUP(C94,'Recipes'!$A$5:$P$100,13,FALSE)/VLOOKUP(C94,'Recipes'!$A$5:$P$100,7,FALSE),0)</x:f>
        <x:v>0</x:v>
      </x:c>
      <x:c r="I94" s="26" t="n">
        <x:f>IFERROR(E94*VLOOKUP(C94,'Recipes'!$A$5:$P$100,14,FALSE)/VLOOKUP(C94,'Recipes'!$A$5:$P$100,7,FALSE),0)</x:f>
        <x:v>0</x:v>
      </x:c>
      <x:c r="J94" s="26" t="n">
        <x:f>IFERROR(E94*VLOOKUP(C94,'Recipes'!$A$5:$P$100,10,FALSE),0)</x:f>
        <x:v>0</x:v>
      </x:c>
      <x:c r="K94" s="23"/>
    </x:row>
    <x:row r="95">
      <x:c r="A95" s="29"/>
      <x:c r="B95" s="23"/>
      <x:c r="C95" s="23"/>
      <x:c r="D95" s="23" t="str">
        <x:f>IFERROR(VLOOKUP(C95,'Recipes'!$A$5:$P$100,2,FALSE),"")</x:f>
      </x:c>
      <x:c r="E95" s="26"/>
      <x:c r="F95" s="26" t="n">
        <x:f>IFERROR(E95*VLOOKUP(C95,'Recipes'!$A$5:$P$100,15,FALSE),0)</x:f>
        <x:v>0</x:v>
      </x:c>
      <x:c r="G95" s="26" t="n">
        <x:f>IFERROR(E95*VLOOKUP(C95,'Recipes'!$A$5:$P$100,12,FALSE)/VLOOKUP(C95,'Recipes'!$A$5:$P$100,7,FALSE),0)</x:f>
        <x:v>0</x:v>
      </x:c>
      <x:c r="H95" s="26" t="n">
        <x:f>IFERROR(E95*VLOOKUP(C95,'Recipes'!$A$5:$P$100,13,FALSE)/VLOOKUP(C95,'Recipes'!$A$5:$P$100,7,FALSE),0)</x:f>
        <x:v>0</x:v>
      </x:c>
      <x:c r="I95" s="26" t="n">
        <x:f>IFERROR(E95*VLOOKUP(C95,'Recipes'!$A$5:$P$100,14,FALSE)/VLOOKUP(C95,'Recipes'!$A$5:$P$100,7,FALSE),0)</x:f>
        <x:v>0</x:v>
      </x:c>
      <x:c r="J95" s="26" t="n">
        <x:f>IFERROR(E95*VLOOKUP(C95,'Recipes'!$A$5:$P$100,10,FALSE),0)</x:f>
        <x:v>0</x:v>
      </x:c>
      <x:c r="K95" s="23"/>
    </x:row>
    <x:row r="96">
      <x:c r="A96" s="29"/>
      <x:c r="B96" s="23"/>
      <x:c r="C96" s="23"/>
      <x:c r="D96" s="23" t="str">
        <x:f>IFERROR(VLOOKUP(C96,'Recipes'!$A$5:$P$100,2,FALSE),"")</x:f>
      </x:c>
      <x:c r="E96" s="26"/>
      <x:c r="F96" s="26" t="n">
        <x:f>IFERROR(E96*VLOOKUP(C96,'Recipes'!$A$5:$P$100,15,FALSE),0)</x:f>
        <x:v>0</x:v>
      </x:c>
      <x:c r="G96" s="26" t="n">
        <x:f>IFERROR(E96*VLOOKUP(C96,'Recipes'!$A$5:$P$100,12,FALSE)/VLOOKUP(C96,'Recipes'!$A$5:$P$100,7,FALSE),0)</x:f>
        <x:v>0</x:v>
      </x:c>
      <x:c r="H96" s="26" t="n">
        <x:f>IFERROR(E96*VLOOKUP(C96,'Recipes'!$A$5:$P$100,13,FALSE)/VLOOKUP(C96,'Recipes'!$A$5:$P$100,7,FALSE),0)</x:f>
        <x:v>0</x:v>
      </x:c>
      <x:c r="I96" s="26" t="n">
        <x:f>IFERROR(E96*VLOOKUP(C96,'Recipes'!$A$5:$P$100,14,FALSE)/VLOOKUP(C96,'Recipes'!$A$5:$P$100,7,FALSE),0)</x:f>
        <x:v>0</x:v>
      </x:c>
      <x:c r="J96" s="26" t="n">
        <x:f>IFERROR(E96*VLOOKUP(C96,'Recipes'!$A$5:$P$100,10,FALSE),0)</x:f>
        <x:v>0</x:v>
      </x:c>
      <x:c r="K96" s="23"/>
    </x:row>
    <x:row r="97">
      <x:c r="A97" s="29"/>
      <x:c r="B97" s="23"/>
      <x:c r="C97" s="23"/>
      <x:c r="D97" s="23" t="str">
        <x:f>IFERROR(VLOOKUP(C97,'Recipes'!$A$5:$P$100,2,FALSE),"")</x:f>
      </x:c>
      <x:c r="E97" s="26"/>
      <x:c r="F97" s="26" t="n">
        <x:f>IFERROR(E97*VLOOKUP(C97,'Recipes'!$A$5:$P$100,15,FALSE),0)</x:f>
        <x:v>0</x:v>
      </x:c>
      <x:c r="G97" s="26" t="n">
        <x:f>IFERROR(E97*VLOOKUP(C97,'Recipes'!$A$5:$P$100,12,FALSE)/VLOOKUP(C97,'Recipes'!$A$5:$P$100,7,FALSE),0)</x:f>
        <x:v>0</x:v>
      </x:c>
      <x:c r="H97" s="26" t="n">
        <x:f>IFERROR(E97*VLOOKUP(C97,'Recipes'!$A$5:$P$100,13,FALSE)/VLOOKUP(C97,'Recipes'!$A$5:$P$100,7,FALSE),0)</x:f>
        <x:v>0</x:v>
      </x:c>
      <x:c r="I97" s="26" t="n">
        <x:f>IFERROR(E97*VLOOKUP(C97,'Recipes'!$A$5:$P$100,14,FALSE)/VLOOKUP(C97,'Recipes'!$A$5:$P$100,7,FALSE),0)</x:f>
        <x:v>0</x:v>
      </x:c>
      <x:c r="J97" s="26" t="n">
        <x:f>IFERROR(E97*VLOOKUP(C97,'Recipes'!$A$5:$P$100,10,FALSE),0)</x:f>
        <x:v>0</x:v>
      </x:c>
      <x:c r="K97" s="23"/>
    </x:row>
    <x:row r="98">
      <x:c r="A98" s="29"/>
      <x:c r="B98" s="23"/>
      <x:c r="C98" s="23"/>
      <x:c r="D98" s="23" t="str">
        <x:f>IFERROR(VLOOKUP(C98,'Recipes'!$A$5:$P$100,2,FALSE),"")</x:f>
      </x:c>
      <x:c r="E98" s="26"/>
      <x:c r="F98" s="26" t="n">
        <x:f>IFERROR(E98*VLOOKUP(C98,'Recipes'!$A$5:$P$100,15,FALSE),0)</x:f>
        <x:v>0</x:v>
      </x:c>
      <x:c r="G98" s="26" t="n">
        <x:f>IFERROR(E98*VLOOKUP(C98,'Recipes'!$A$5:$P$100,12,FALSE)/VLOOKUP(C98,'Recipes'!$A$5:$P$100,7,FALSE),0)</x:f>
        <x:v>0</x:v>
      </x:c>
      <x:c r="H98" s="26" t="n">
        <x:f>IFERROR(E98*VLOOKUP(C98,'Recipes'!$A$5:$P$100,13,FALSE)/VLOOKUP(C98,'Recipes'!$A$5:$P$100,7,FALSE),0)</x:f>
        <x:v>0</x:v>
      </x:c>
      <x:c r="I98" s="26" t="n">
        <x:f>IFERROR(E98*VLOOKUP(C98,'Recipes'!$A$5:$P$100,14,FALSE)/VLOOKUP(C98,'Recipes'!$A$5:$P$100,7,FALSE),0)</x:f>
        <x:v>0</x:v>
      </x:c>
      <x:c r="J98" s="26" t="n">
        <x:f>IFERROR(E98*VLOOKUP(C98,'Recipes'!$A$5:$P$100,10,FALSE),0)</x:f>
        <x:v>0</x:v>
      </x:c>
      <x:c r="K98" s="23"/>
    </x:row>
    <x:row r="99">
      <x:c r="A99" s="29"/>
      <x:c r="B99" s="23"/>
      <x:c r="C99" s="23"/>
      <x:c r="D99" s="23" t="str">
        <x:f>IFERROR(VLOOKUP(C99,'Recipes'!$A$5:$P$100,2,FALSE),"")</x:f>
      </x:c>
      <x:c r="E99" s="26"/>
      <x:c r="F99" s="26" t="n">
        <x:f>IFERROR(E99*VLOOKUP(C99,'Recipes'!$A$5:$P$100,15,FALSE),0)</x:f>
        <x:v>0</x:v>
      </x:c>
      <x:c r="G99" s="26" t="n">
        <x:f>IFERROR(E99*VLOOKUP(C99,'Recipes'!$A$5:$P$100,12,FALSE)/VLOOKUP(C99,'Recipes'!$A$5:$P$100,7,FALSE),0)</x:f>
        <x:v>0</x:v>
      </x:c>
      <x:c r="H99" s="26" t="n">
        <x:f>IFERROR(E99*VLOOKUP(C99,'Recipes'!$A$5:$P$100,13,FALSE)/VLOOKUP(C99,'Recipes'!$A$5:$P$100,7,FALSE),0)</x:f>
        <x:v>0</x:v>
      </x:c>
      <x:c r="I99" s="26" t="n">
        <x:f>IFERROR(E99*VLOOKUP(C99,'Recipes'!$A$5:$P$100,14,FALSE)/VLOOKUP(C99,'Recipes'!$A$5:$P$100,7,FALSE),0)</x:f>
        <x:v>0</x:v>
      </x:c>
      <x:c r="J99" s="26" t="n">
        <x:f>IFERROR(E99*VLOOKUP(C99,'Recipes'!$A$5:$P$100,10,FALSE),0)</x:f>
        <x:v>0</x:v>
      </x:c>
      <x:c r="K99" s="23"/>
    </x:row>
    <x:row r="100">
      <x:c r="A100" s="29"/>
      <x:c r="B100" s="23"/>
      <x:c r="C100" s="23"/>
      <x:c r="D100" s="23" t="str">
        <x:f>IFERROR(VLOOKUP(C100,'Recipes'!$A$5:$P$100,2,FALSE),"")</x:f>
      </x:c>
      <x:c r="E100" s="26"/>
      <x:c r="F100" s="26" t="n">
        <x:f>IFERROR(E100*VLOOKUP(C100,'Recipes'!$A$5:$P$100,15,FALSE),0)</x:f>
        <x:v>0</x:v>
      </x:c>
      <x:c r="G100" s="26" t="n">
        <x:f>IFERROR(E100*VLOOKUP(C100,'Recipes'!$A$5:$P$100,12,FALSE)/VLOOKUP(C100,'Recipes'!$A$5:$P$100,7,FALSE),0)</x:f>
        <x:v>0</x:v>
      </x:c>
      <x:c r="H100" s="26" t="n">
        <x:f>IFERROR(E100*VLOOKUP(C100,'Recipes'!$A$5:$P$100,13,FALSE)/VLOOKUP(C100,'Recipes'!$A$5:$P$100,7,FALSE),0)</x:f>
        <x:v>0</x:v>
      </x:c>
      <x:c r="I100" s="26" t="n">
        <x:f>IFERROR(E100*VLOOKUP(C100,'Recipes'!$A$5:$P$100,14,FALSE)/VLOOKUP(C100,'Recipes'!$A$5:$P$100,7,FALSE),0)</x:f>
        <x:v>0</x:v>
      </x:c>
      <x:c r="J100" s="26" t="n">
        <x:f>IFERROR(E100*VLOOKUP(C100,'Recipes'!$A$5:$P$100,10,FALSE),0)</x:f>
        <x:v>0</x:v>
      </x:c>
      <x:c r="K100" s="23"/>
    </x:row>
    <x:row r="101">
      <x:c r="A101" s="29"/>
      <x:c r="B101" s="23"/>
      <x:c r="C101" s="23"/>
      <x:c r="D101" s="23" t="str">
        <x:f>IFERROR(VLOOKUP(C101,'Recipes'!$A$5:$P$100,2,FALSE),"")</x:f>
      </x:c>
      <x:c r="E101" s="26"/>
      <x:c r="F101" s="26" t="n">
        <x:f>IFERROR(E101*VLOOKUP(C101,'Recipes'!$A$5:$P$100,15,FALSE),0)</x:f>
        <x:v>0</x:v>
      </x:c>
      <x:c r="G101" s="26" t="n">
        <x:f>IFERROR(E101*VLOOKUP(C101,'Recipes'!$A$5:$P$100,12,FALSE)/VLOOKUP(C101,'Recipes'!$A$5:$P$100,7,FALSE),0)</x:f>
        <x:v>0</x:v>
      </x:c>
      <x:c r="H101" s="26" t="n">
        <x:f>IFERROR(E101*VLOOKUP(C101,'Recipes'!$A$5:$P$100,13,FALSE)/VLOOKUP(C101,'Recipes'!$A$5:$P$100,7,FALSE),0)</x:f>
        <x:v>0</x:v>
      </x:c>
      <x:c r="I101" s="26" t="n">
        <x:f>IFERROR(E101*VLOOKUP(C101,'Recipes'!$A$5:$P$100,14,FALSE)/VLOOKUP(C101,'Recipes'!$A$5:$P$100,7,FALSE),0)</x:f>
        <x:v>0</x:v>
      </x:c>
      <x:c r="J101" s="26" t="n">
        <x:f>IFERROR(E101*VLOOKUP(C101,'Recipes'!$A$5:$P$100,10,FALSE),0)</x:f>
        <x:v>0</x:v>
      </x:c>
      <x:c r="K101" s="23"/>
    </x:row>
    <x:row r="102">
      <x:c r="A102" s="29"/>
      <x:c r="B102" s="23"/>
      <x:c r="C102" s="23"/>
      <x:c r="D102" s="23" t="str">
        <x:f>IFERROR(VLOOKUP(C102,'Recipes'!$A$5:$P$100,2,FALSE),"")</x:f>
      </x:c>
      <x:c r="E102" s="26"/>
      <x:c r="F102" s="26" t="n">
        <x:f>IFERROR(E102*VLOOKUP(C102,'Recipes'!$A$5:$P$100,15,FALSE),0)</x:f>
        <x:v>0</x:v>
      </x:c>
      <x:c r="G102" s="26" t="n">
        <x:f>IFERROR(E102*VLOOKUP(C102,'Recipes'!$A$5:$P$100,12,FALSE)/VLOOKUP(C102,'Recipes'!$A$5:$P$100,7,FALSE),0)</x:f>
        <x:v>0</x:v>
      </x:c>
      <x:c r="H102" s="26" t="n">
        <x:f>IFERROR(E102*VLOOKUP(C102,'Recipes'!$A$5:$P$100,13,FALSE)/VLOOKUP(C102,'Recipes'!$A$5:$P$100,7,FALSE),0)</x:f>
        <x:v>0</x:v>
      </x:c>
      <x:c r="I102" s="26" t="n">
        <x:f>IFERROR(E102*VLOOKUP(C102,'Recipes'!$A$5:$P$100,14,FALSE)/VLOOKUP(C102,'Recipes'!$A$5:$P$100,7,FALSE),0)</x:f>
        <x:v>0</x:v>
      </x:c>
      <x:c r="J102" s="26" t="n">
        <x:f>IFERROR(E102*VLOOKUP(C102,'Recipes'!$A$5:$P$100,10,FALSE),0)</x:f>
        <x:v>0</x:v>
      </x:c>
      <x:c r="K102" s="23"/>
    </x:row>
    <x:row r="103">
      <x:c r="A103" s="29"/>
      <x:c r="B103" s="23"/>
      <x:c r="C103" s="23"/>
      <x:c r="D103" s="23" t="str">
        <x:f>IFERROR(VLOOKUP(C103,'Recipes'!$A$5:$P$100,2,FALSE),"")</x:f>
      </x:c>
      <x:c r="E103" s="26"/>
      <x:c r="F103" s="26" t="n">
        <x:f>IFERROR(E103*VLOOKUP(C103,'Recipes'!$A$5:$P$100,15,FALSE),0)</x:f>
        <x:v>0</x:v>
      </x:c>
      <x:c r="G103" s="26" t="n">
        <x:f>IFERROR(E103*VLOOKUP(C103,'Recipes'!$A$5:$P$100,12,FALSE)/VLOOKUP(C103,'Recipes'!$A$5:$P$100,7,FALSE),0)</x:f>
        <x:v>0</x:v>
      </x:c>
      <x:c r="H103" s="26" t="n">
        <x:f>IFERROR(E103*VLOOKUP(C103,'Recipes'!$A$5:$P$100,13,FALSE)/VLOOKUP(C103,'Recipes'!$A$5:$P$100,7,FALSE),0)</x:f>
        <x:v>0</x:v>
      </x:c>
      <x:c r="I103" s="26" t="n">
        <x:f>IFERROR(E103*VLOOKUP(C103,'Recipes'!$A$5:$P$100,14,FALSE)/VLOOKUP(C103,'Recipes'!$A$5:$P$100,7,FALSE),0)</x:f>
        <x:v>0</x:v>
      </x:c>
      <x:c r="J103" s="26" t="n">
        <x:f>IFERROR(E103*VLOOKUP(C103,'Recipes'!$A$5:$P$100,10,FALSE),0)</x:f>
        <x:v>0</x:v>
      </x:c>
      <x:c r="K103" s="23"/>
    </x:row>
    <x:row r="104">
      <x:c r="A104" s="30"/>
      <x:c r="B104" s="24"/>
      <x:c r="C104" s="24"/>
      <x:c r="D104" s="24" t="str">
        <x:f>IFERROR(VLOOKUP(C104,'Recipes'!$A$5:$P$100,2,FALSE),"")</x:f>
      </x:c>
      <x:c r="E104" s="27"/>
      <x:c r="F104" s="27" t="n">
        <x:f>IFERROR(E104*VLOOKUP(C104,'Recipes'!$A$5:$P$100,15,FALSE),0)</x:f>
        <x:v>0</x:v>
      </x:c>
      <x:c r="G104" s="27" t="n">
        <x:f>IFERROR(E104*VLOOKUP(C104,'Recipes'!$A$5:$P$100,12,FALSE)/VLOOKUP(C104,'Recipes'!$A$5:$P$100,7,FALSE),0)</x:f>
        <x:v>0</x:v>
      </x:c>
      <x:c r="H104" s="27" t="n">
        <x:f>IFERROR(E104*VLOOKUP(C104,'Recipes'!$A$5:$P$100,13,FALSE)/VLOOKUP(C104,'Recipes'!$A$5:$P$100,7,FALSE),0)</x:f>
        <x:v>0</x:v>
      </x:c>
      <x:c r="I104" s="27" t="n">
        <x:f>IFERROR(E104*VLOOKUP(C104,'Recipes'!$A$5:$P$100,14,FALSE)/VLOOKUP(C104,'Recipes'!$A$5:$P$100,7,FALSE),0)</x:f>
        <x:v>0</x:v>
      </x:c>
      <x:c r="J104" s="27" t="n">
        <x:f>IFERROR(E104*VLOOKUP(C104,'Recipes'!$A$5:$P$100,10,FALSE),0)</x:f>
        <x:v>0</x:v>
      </x:c>
      <x:c r="K104" s="24"/>
    </x:row>
  </x:sheetData>
  <x:mergeCells>
    <x:mergeCell ref="A1:K1"/>
    <x:mergeCell ref="A2:K2"/>
  </x:mergeCells>
  <x:dataValidations count="2">
    <x:dataValidation type="list" sqref="B5:B104">
      <x:formula1>"Завтрак,Обед,Ужин,Перекус,Напиток"</x:formula1>
    </x:dataValidation>
    <x:dataValidation type="list" sqref="C5:C104">
      <x:formula1>'Recipes'!$A$5:$A$21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31ba3b4dcf49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0" hidden="0" customWidth="1"/>
    <x:col min="8" max="8" width="42" hidden="0" customWidth="1"/>
  </x:cols>
  <x:sheetData>
    <x:row r="1" ht="34" customHeight="1">
      <x:c r="A1" s="3" t="str">
        <x:v>Progress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Замеры и динамика состава тела</x:v>
      </x:c>
      <x:c r="B2" s="6"/>
      <x:c r="C2" s="6"/>
      <x:c r="D2" s="6"/>
      <x:c r="E2" s="6"/>
      <x:c r="F2" s="6"/>
      <x:c r="G2" s="6"/>
      <x:c r="H2" s="6"/>
    </x:row>
    <x:row r="4" ht="24" customHeight="1">
      <x:c r="A4" s="15" t="str">
        <x:v>Дата</x:v>
      </x:c>
      <x:c r="B4" s="16" t="str">
        <x:v>Вес, кг</x:v>
      </x:c>
      <x:c r="C4" s="16" t="str">
        <x:v>Талия, см</x:v>
      </x:c>
      <x:c r="D4" s="16" t="str">
        <x:v>Грудь, см</x:v>
      </x:c>
      <x:c r="E4" s="16" t="str">
        <x:v>Бедра, см</x:v>
      </x:c>
      <x:c r="F4" s="16" t="str">
        <x:v>Сон (1–5)</x:v>
      </x:c>
      <x:c r="G4" s="16" t="str">
        <x:v>Самочувствие (1–5)</x:v>
      </x:c>
      <x:c r="H4" s="17" t="str">
        <x:v>Комментарий</x:v>
      </x:c>
    </x:row>
    <x:row r="5">
      <x:c r="A5" s="28" t="n">
        <x:v>45852</x:v>
      </x:c>
      <x:c r="B5" s="22" t="n">
        <x:v>78</x:v>
      </x:c>
      <x:c r="C5" s="22" t="n">
        <x:v>88</x:v>
      </x:c>
      <x:c r="D5" s="22"/>
      <x:c r="E5" s="22"/>
      <x:c r="F5" s="22"/>
      <x:c r="G5" s="22"/>
      <x:c r="H5" s="22" t="str">
        <x:v>Исторический максимум, приблизительно</x:v>
      </x:c>
    </x:row>
    <x:row r="6">
      <x:c r="A6" s="29" t="n">
        <x:v>46217</x:v>
      </x:c>
      <x:c r="B6" s="23" t="n">
        <x:v>73</x:v>
      </x:c>
      <x:c r="C6" s="23" t="n">
        <x:v>81</x:v>
      </x:c>
      <x:c r="D6" s="23"/>
      <x:c r="E6" s="23"/>
      <x:c r="F6" s="23"/>
      <x:c r="G6" s="23"/>
      <x:c r="H6" s="23" t="str">
        <x:v>Текущая точка</x:v>
      </x:c>
    </x:row>
    <x:row r="7">
      <x:c r="A7" s="29"/>
      <x:c r="B7" s="23"/>
      <x:c r="C7" s="23"/>
      <x:c r="D7" s="23"/>
      <x:c r="E7" s="23"/>
      <x:c r="F7" s="23"/>
      <x:c r="G7" s="23"/>
      <x:c r="H7" s="23"/>
    </x:row>
    <x:row r="8">
      <x:c r="A8" s="29"/>
      <x:c r="B8" s="23"/>
      <x:c r="C8" s="23"/>
      <x:c r="D8" s="23"/>
      <x:c r="E8" s="23"/>
      <x:c r="F8" s="23"/>
      <x:c r="G8" s="23"/>
      <x:c r="H8" s="23"/>
    </x:row>
    <x:row r="9">
      <x:c r="A9" s="29"/>
      <x:c r="B9" s="23"/>
      <x:c r="C9" s="23"/>
      <x:c r="D9" s="23"/>
      <x:c r="E9" s="23"/>
      <x:c r="F9" s="23"/>
      <x:c r="G9" s="23"/>
      <x:c r="H9" s="23"/>
    </x:row>
    <x:row r="10">
      <x:c r="A10" s="29"/>
      <x:c r="B10" s="23"/>
      <x:c r="C10" s="23"/>
      <x:c r="D10" s="23"/>
      <x:c r="E10" s="23"/>
      <x:c r="F10" s="23"/>
      <x:c r="G10" s="23"/>
      <x:c r="H10" s="23"/>
    </x:row>
    <x:row r="11">
      <x:c r="A11" s="29"/>
      <x:c r="B11" s="23"/>
      <x:c r="C11" s="23"/>
      <x:c r="D11" s="23"/>
      <x:c r="E11" s="23"/>
      <x:c r="F11" s="23"/>
      <x:c r="G11" s="23"/>
      <x:c r="H11" s="23"/>
    </x:row>
    <x:row r="12">
      <x:c r="A12" s="29"/>
      <x:c r="B12" s="23"/>
      <x:c r="C12" s="23"/>
      <x:c r="D12" s="23"/>
      <x:c r="E12" s="23"/>
      <x:c r="F12" s="23"/>
      <x:c r="G12" s="23"/>
      <x:c r="H12" s="23"/>
    </x:row>
    <x:row r="13">
      <x:c r="A13" s="29"/>
      <x:c r="B13" s="23"/>
      <x:c r="C13" s="23"/>
      <x:c r="D13" s="23"/>
      <x:c r="E13" s="23"/>
      <x:c r="F13" s="23"/>
      <x:c r="G13" s="23"/>
      <x:c r="H13" s="23"/>
    </x:row>
    <x:row r="14">
      <x:c r="A14" s="29"/>
      <x:c r="B14" s="23"/>
      <x:c r="C14" s="23"/>
      <x:c r="D14" s="23"/>
      <x:c r="E14" s="23"/>
      <x:c r="F14" s="23"/>
      <x:c r="G14" s="23"/>
      <x:c r="H14" s="23"/>
    </x:row>
    <x:row r="15">
      <x:c r="A15" s="29"/>
      <x:c r="B15" s="23"/>
      <x:c r="C15" s="23"/>
      <x:c r="D15" s="23"/>
      <x:c r="E15" s="23"/>
      <x:c r="F15" s="23"/>
      <x:c r="G15" s="23"/>
      <x:c r="H15" s="23"/>
    </x:row>
    <x:row r="16">
      <x:c r="A16" s="29"/>
      <x:c r="B16" s="23"/>
      <x:c r="C16" s="23"/>
      <x:c r="D16" s="23"/>
      <x:c r="E16" s="23"/>
      <x:c r="F16" s="23"/>
      <x:c r="G16" s="23"/>
      <x:c r="H16" s="23"/>
    </x:row>
    <x:row r="17">
      <x:c r="A17" s="29"/>
      <x:c r="B17" s="23"/>
      <x:c r="C17" s="23"/>
      <x:c r="D17" s="23"/>
      <x:c r="E17" s="23"/>
      <x:c r="F17" s="23"/>
      <x:c r="G17" s="23"/>
      <x:c r="H17" s="23"/>
    </x:row>
    <x:row r="18">
      <x:c r="A18" s="29"/>
      <x:c r="B18" s="23"/>
      <x:c r="C18" s="23"/>
      <x:c r="D18" s="23"/>
      <x:c r="E18" s="23"/>
      <x:c r="F18" s="23"/>
      <x:c r="G18" s="23"/>
      <x:c r="H18" s="23"/>
    </x:row>
    <x:row r="19">
      <x:c r="A19" s="29"/>
      <x:c r="B19" s="23"/>
      <x:c r="C19" s="23"/>
      <x:c r="D19" s="23"/>
      <x:c r="E19" s="23"/>
      <x:c r="F19" s="23"/>
      <x:c r="G19" s="23"/>
      <x:c r="H19" s="23"/>
    </x:row>
    <x:row r="20">
      <x:c r="A20" s="29"/>
      <x:c r="B20" s="23"/>
      <x:c r="C20" s="23"/>
      <x:c r="D20" s="23"/>
      <x:c r="E20" s="23"/>
      <x:c r="F20" s="23"/>
      <x:c r="G20" s="23"/>
      <x:c r="H20" s="23"/>
    </x:row>
    <x:row r="21">
      <x:c r="A21" s="29"/>
      <x:c r="B21" s="23"/>
      <x:c r="C21" s="23"/>
      <x:c r="D21" s="23"/>
      <x:c r="E21" s="23"/>
      <x:c r="F21" s="23"/>
      <x:c r="G21" s="23"/>
      <x:c r="H21" s="23"/>
    </x:row>
    <x:row r="22">
      <x:c r="A22" s="29"/>
      <x:c r="B22" s="23"/>
      <x:c r="C22" s="23"/>
      <x:c r="D22" s="23"/>
      <x:c r="E22" s="23"/>
      <x:c r="F22" s="23"/>
      <x:c r="G22" s="23"/>
      <x:c r="H22" s="23"/>
    </x:row>
    <x:row r="23">
      <x:c r="A23" s="29"/>
      <x:c r="B23" s="23"/>
      <x:c r="C23" s="23"/>
      <x:c r="D23" s="23"/>
      <x:c r="E23" s="23"/>
      <x:c r="F23" s="23"/>
      <x:c r="G23" s="23"/>
      <x:c r="H23" s="23"/>
    </x:row>
    <x:row r="24">
      <x:c r="A24" s="29"/>
      <x:c r="B24" s="23"/>
      <x:c r="C24" s="23"/>
      <x:c r="D24" s="23"/>
      <x:c r="E24" s="23"/>
      <x:c r="F24" s="23"/>
      <x:c r="G24" s="23"/>
      <x:c r="H24" s="23"/>
    </x:row>
    <x:row r="25">
      <x:c r="A25" s="29"/>
      <x:c r="B25" s="23"/>
      <x:c r="C25" s="23"/>
      <x:c r="D25" s="23"/>
      <x:c r="E25" s="23"/>
      <x:c r="F25" s="23"/>
      <x:c r="G25" s="23"/>
      <x:c r="H25" s="23"/>
    </x:row>
    <x:row r="26">
      <x:c r="A26" s="29"/>
      <x:c r="B26" s="23"/>
      <x:c r="C26" s="23"/>
      <x:c r="D26" s="23"/>
      <x:c r="E26" s="23"/>
      <x:c r="F26" s="23"/>
      <x:c r="G26" s="23"/>
      <x:c r="H26" s="23"/>
    </x:row>
    <x:row r="27">
      <x:c r="A27" s="29"/>
      <x:c r="B27" s="23"/>
      <x:c r="C27" s="23"/>
      <x:c r="D27" s="23"/>
      <x:c r="E27" s="23"/>
      <x:c r="F27" s="23"/>
      <x:c r="G27" s="23"/>
      <x:c r="H27" s="23"/>
    </x:row>
    <x:row r="28">
      <x:c r="A28" s="29"/>
      <x:c r="B28" s="23"/>
      <x:c r="C28" s="23"/>
      <x:c r="D28" s="23"/>
      <x:c r="E28" s="23"/>
      <x:c r="F28" s="23"/>
      <x:c r="G28" s="23"/>
      <x:c r="H28" s="23"/>
    </x:row>
    <x:row r="29">
      <x:c r="A29" s="29"/>
      <x:c r="B29" s="23"/>
      <x:c r="C29" s="23"/>
      <x:c r="D29" s="23"/>
      <x:c r="E29" s="23"/>
      <x:c r="F29" s="23"/>
      <x:c r="G29" s="23"/>
      <x:c r="H29" s="23"/>
    </x:row>
    <x:row r="30">
      <x:c r="A30" s="29"/>
      <x:c r="B30" s="23"/>
      <x:c r="C30" s="23"/>
      <x:c r="D30" s="23"/>
      <x:c r="E30" s="23"/>
      <x:c r="F30" s="23"/>
      <x:c r="G30" s="23"/>
      <x:c r="H30" s="23"/>
    </x:row>
    <x:row r="31">
      <x:c r="A31" s="29"/>
      <x:c r="B31" s="23"/>
      <x:c r="C31" s="23"/>
      <x:c r="D31" s="23"/>
      <x:c r="E31" s="23"/>
      <x:c r="F31" s="23"/>
      <x:c r="G31" s="23"/>
      <x:c r="H31" s="23"/>
    </x:row>
    <x:row r="32">
      <x:c r="A32" s="29"/>
      <x:c r="B32" s="23"/>
      <x:c r="C32" s="23"/>
      <x:c r="D32" s="23"/>
      <x:c r="E32" s="23"/>
      <x:c r="F32" s="23"/>
      <x:c r="G32" s="23"/>
      <x:c r="H32" s="23"/>
    </x:row>
    <x:row r="33">
      <x:c r="A33" s="29"/>
      <x:c r="B33" s="23"/>
      <x:c r="C33" s="23"/>
      <x:c r="D33" s="23"/>
      <x:c r="E33" s="23"/>
      <x:c r="F33" s="23"/>
      <x:c r="G33" s="23"/>
      <x:c r="H33" s="23"/>
    </x:row>
    <x:row r="34">
      <x:c r="A34" s="29"/>
      <x:c r="B34" s="23"/>
      <x:c r="C34" s="23"/>
      <x:c r="D34" s="23"/>
      <x:c r="E34" s="23"/>
      <x:c r="F34" s="23"/>
      <x:c r="G34" s="23"/>
      <x:c r="H34" s="23"/>
    </x:row>
    <x:row r="35">
      <x:c r="A35" s="29"/>
      <x:c r="B35" s="23"/>
      <x:c r="C35" s="23"/>
      <x:c r="D35" s="23"/>
      <x:c r="E35" s="23"/>
      <x:c r="F35" s="23"/>
      <x:c r="G35" s="23"/>
      <x:c r="H35" s="23"/>
    </x:row>
    <x:row r="36">
      <x:c r="A36" s="29"/>
      <x:c r="B36" s="23"/>
      <x:c r="C36" s="23"/>
      <x:c r="D36" s="23"/>
      <x:c r="E36" s="23"/>
      <x:c r="F36" s="23"/>
      <x:c r="G36" s="23"/>
      <x:c r="H36" s="23"/>
    </x:row>
    <x:row r="37">
      <x:c r="A37" s="29"/>
      <x:c r="B37" s="23"/>
      <x:c r="C37" s="23"/>
      <x:c r="D37" s="23"/>
      <x:c r="E37" s="23"/>
      <x:c r="F37" s="23"/>
      <x:c r="G37" s="23"/>
      <x:c r="H37" s="23"/>
    </x:row>
    <x:row r="38">
      <x:c r="A38" s="29"/>
      <x:c r="B38" s="23"/>
      <x:c r="C38" s="23"/>
      <x:c r="D38" s="23"/>
      <x:c r="E38" s="23"/>
      <x:c r="F38" s="23"/>
      <x:c r="G38" s="23"/>
      <x:c r="H38" s="23"/>
    </x:row>
    <x:row r="39">
      <x:c r="A39" s="29"/>
      <x:c r="B39" s="23"/>
      <x:c r="C39" s="23"/>
      <x:c r="D39" s="23"/>
      <x:c r="E39" s="23"/>
      <x:c r="F39" s="23"/>
      <x:c r="G39" s="23"/>
      <x:c r="H39" s="23"/>
    </x:row>
    <x:row r="40">
      <x:c r="A40" s="29"/>
      <x:c r="B40" s="23"/>
      <x:c r="C40" s="23"/>
      <x:c r="D40" s="23"/>
      <x:c r="E40" s="23"/>
      <x:c r="F40" s="23"/>
      <x:c r="G40" s="23"/>
      <x:c r="H40" s="23"/>
    </x:row>
    <x:row r="41">
      <x:c r="A41" s="29"/>
      <x:c r="B41" s="23"/>
      <x:c r="C41" s="23"/>
      <x:c r="D41" s="23"/>
      <x:c r="E41" s="23"/>
      <x:c r="F41" s="23"/>
      <x:c r="G41" s="23"/>
      <x:c r="H41" s="23"/>
    </x:row>
    <x:row r="42">
      <x:c r="A42" s="29"/>
      <x:c r="B42" s="23"/>
      <x:c r="C42" s="23"/>
      <x:c r="D42" s="23"/>
      <x:c r="E42" s="23"/>
      <x:c r="F42" s="23"/>
      <x:c r="G42" s="23"/>
      <x:c r="H42" s="23"/>
    </x:row>
    <x:row r="43">
      <x:c r="A43" s="29"/>
      <x:c r="B43" s="23"/>
      <x:c r="C43" s="23"/>
      <x:c r="D43" s="23"/>
      <x:c r="E43" s="23"/>
      <x:c r="F43" s="23"/>
      <x:c r="G43" s="23"/>
      <x:c r="H43" s="23"/>
    </x:row>
    <x:row r="44">
      <x:c r="A44" s="29"/>
      <x:c r="B44" s="23"/>
      <x:c r="C44" s="23"/>
      <x:c r="D44" s="23"/>
      <x:c r="E44" s="23"/>
      <x:c r="F44" s="23"/>
      <x:c r="G44" s="23"/>
      <x:c r="H44" s="23"/>
    </x:row>
    <x:row r="45">
      <x:c r="A45" s="29"/>
      <x:c r="B45" s="23"/>
      <x:c r="C45" s="23"/>
      <x:c r="D45" s="23"/>
      <x:c r="E45" s="23"/>
      <x:c r="F45" s="23"/>
      <x:c r="G45" s="23"/>
      <x:c r="H45" s="23"/>
    </x:row>
    <x:row r="46">
      <x:c r="A46" s="29"/>
      <x:c r="B46" s="23"/>
      <x:c r="C46" s="23"/>
      <x:c r="D46" s="23"/>
      <x:c r="E46" s="23"/>
      <x:c r="F46" s="23"/>
      <x:c r="G46" s="23"/>
      <x:c r="H46" s="23"/>
    </x:row>
    <x:row r="47">
      <x:c r="A47" s="29"/>
      <x:c r="B47" s="23"/>
      <x:c r="C47" s="23"/>
      <x:c r="D47" s="23"/>
      <x:c r="E47" s="23"/>
      <x:c r="F47" s="23"/>
      <x:c r="G47" s="23"/>
      <x:c r="H47" s="23"/>
    </x:row>
    <x:row r="48">
      <x:c r="A48" s="29"/>
      <x:c r="B48" s="23"/>
      <x:c r="C48" s="23"/>
      <x:c r="D48" s="23"/>
      <x:c r="E48" s="23"/>
      <x:c r="F48" s="23"/>
      <x:c r="G48" s="23"/>
      <x:c r="H48" s="23"/>
    </x:row>
    <x:row r="49">
      <x:c r="A49" s="29"/>
      <x:c r="B49" s="23"/>
      <x:c r="C49" s="23"/>
      <x:c r="D49" s="23"/>
      <x:c r="E49" s="23"/>
      <x:c r="F49" s="23"/>
      <x:c r="G49" s="23"/>
      <x:c r="H49" s="23"/>
    </x:row>
    <x:row r="50">
      <x:c r="A50" s="29"/>
      <x:c r="B50" s="23"/>
      <x:c r="C50" s="23"/>
      <x:c r="D50" s="23"/>
      <x:c r="E50" s="23"/>
      <x:c r="F50" s="23"/>
      <x:c r="G50" s="23"/>
      <x:c r="H50" s="23"/>
    </x:row>
    <x:row r="51">
      <x:c r="A51" s="29"/>
      <x:c r="B51" s="23"/>
      <x:c r="C51" s="23"/>
      <x:c r="D51" s="23"/>
      <x:c r="E51" s="23"/>
      <x:c r="F51" s="23"/>
      <x:c r="G51" s="23"/>
      <x:c r="H51" s="23"/>
    </x:row>
    <x:row r="52">
      <x:c r="A52" s="29"/>
      <x:c r="B52" s="23"/>
      <x:c r="C52" s="23"/>
      <x:c r="D52" s="23"/>
      <x:c r="E52" s="23"/>
      <x:c r="F52" s="23"/>
      <x:c r="G52" s="23"/>
      <x:c r="H52" s="23"/>
    </x:row>
    <x:row r="53">
      <x:c r="A53" s="29"/>
      <x:c r="B53" s="23"/>
      <x:c r="C53" s="23"/>
      <x:c r="D53" s="23"/>
      <x:c r="E53" s="23"/>
      <x:c r="F53" s="23"/>
      <x:c r="G53" s="23"/>
      <x:c r="H53" s="23"/>
    </x:row>
    <x:row r="54">
      <x:c r="A54" s="29"/>
      <x:c r="B54" s="23"/>
      <x:c r="C54" s="23"/>
      <x:c r="D54" s="23"/>
      <x:c r="E54" s="23"/>
      <x:c r="F54" s="23"/>
      <x:c r="G54" s="23"/>
      <x:c r="H54" s="23"/>
    </x:row>
    <x:row r="55">
      <x:c r="A55" s="29"/>
      <x:c r="B55" s="23"/>
      <x:c r="C55" s="23"/>
      <x:c r="D55" s="23"/>
      <x:c r="E55" s="23"/>
      <x:c r="F55" s="23"/>
      <x:c r="G55" s="23"/>
      <x:c r="H55" s="23"/>
    </x:row>
    <x:row r="56">
      <x:c r="A56" s="29"/>
      <x:c r="B56" s="23"/>
      <x:c r="C56" s="23"/>
      <x:c r="D56" s="23"/>
      <x:c r="E56" s="23"/>
      <x:c r="F56" s="23"/>
      <x:c r="G56" s="23"/>
      <x:c r="H56" s="23"/>
    </x:row>
    <x:row r="57">
      <x:c r="A57" s="29"/>
      <x:c r="B57" s="23"/>
      <x:c r="C57" s="23"/>
      <x:c r="D57" s="23"/>
      <x:c r="E57" s="23"/>
      <x:c r="F57" s="23"/>
      <x:c r="G57" s="23"/>
      <x:c r="H57" s="23"/>
    </x:row>
    <x:row r="58">
      <x:c r="A58" s="29"/>
      <x:c r="B58" s="23"/>
      <x:c r="C58" s="23"/>
      <x:c r="D58" s="23"/>
      <x:c r="E58" s="23"/>
      <x:c r="F58" s="23"/>
      <x:c r="G58" s="23"/>
      <x:c r="H58" s="23"/>
    </x:row>
    <x:row r="59">
      <x:c r="A59" s="29"/>
      <x:c r="B59" s="23"/>
      <x:c r="C59" s="23"/>
      <x:c r="D59" s="23"/>
      <x:c r="E59" s="23"/>
      <x:c r="F59" s="23"/>
      <x:c r="G59" s="23"/>
      <x:c r="H59" s="23"/>
    </x:row>
    <x:row r="60">
      <x:c r="A60" s="29"/>
      <x:c r="B60" s="23"/>
      <x:c r="C60" s="23"/>
      <x:c r="D60" s="23"/>
      <x:c r="E60" s="23"/>
      <x:c r="F60" s="23"/>
      <x:c r="G60" s="23"/>
      <x:c r="H60" s="23"/>
    </x:row>
    <x:row r="61">
      <x:c r="A61" s="29"/>
      <x:c r="B61" s="23"/>
      <x:c r="C61" s="23"/>
      <x:c r="D61" s="23"/>
      <x:c r="E61" s="23"/>
      <x:c r="F61" s="23"/>
      <x:c r="G61" s="23"/>
      <x:c r="H61" s="23"/>
    </x:row>
    <x:row r="62">
      <x:c r="A62" s="29"/>
      <x:c r="B62" s="23"/>
      <x:c r="C62" s="23"/>
      <x:c r="D62" s="23"/>
      <x:c r="E62" s="23"/>
      <x:c r="F62" s="23"/>
      <x:c r="G62" s="23"/>
      <x:c r="H62" s="23"/>
    </x:row>
    <x:row r="63">
      <x:c r="A63" s="29"/>
      <x:c r="B63" s="23"/>
      <x:c r="C63" s="23"/>
      <x:c r="D63" s="23"/>
      <x:c r="E63" s="23"/>
      <x:c r="F63" s="23"/>
      <x:c r="G63" s="23"/>
      <x:c r="H63" s="23"/>
    </x:row>
    <x:row r="64">
      <x:c r="A64" s="29"/>
      <x:c r="B64" s="23"/>
      <x:c r="C64" s="23"/>
      <x:c r="D64" s="23"/>
      <x:c r="E64" s="23"/>
      <x:c r="F64" s="23"/>
      <x:c r="G64" s="23"/>
      <x:c r="H64" s="23"/>
    </x:row>
    <x:row r="65">
      <x:c r="A65" s="29"/>
      <x:c r="B65" s="23"/>
      <x:c r="C65" s="23"/>
      <x:c r="D65" s="23"/>
      <x:c r="E65" s="23"/>
      <x:c r="F65" s="23"/>
      <x:c r="G65" s="23"/>
      <x:c r="H65" s="23"/>
    </x:row>
    <x:row r="66">
      <x:c r="A66" s="29"/>
      <x:c r="B66" s="23"/>
      <x:c r="C66" s="23"/>
      <x:c r="D66" s="23"/>
      <x:c r="E66" s="23"/>
      <x:c r="F66" s="23"/>
      <x:c r="G66" s="23"/>
      <x:c r="H66" s="23"/>
    </x:row>
    <x:row r="67">
      <x:c r="A67" s="29"/>
      <x:c r="B67" s="23"/>
      <x:c r="C67" s="23"/>
      <x:c r="D67" s="23"/>
      <x:c r="E67" s="23"/>
      <x:c r="F67" s="23"/>
      <x:c r="G67" s="23"/>
      <x:c r="H67" s="23"/>
    </x:row>
    <x:row r="68">
      <x:c r="A68" s="29"/>
      <x:c r="B68" s="23"/>
      <x:c r="C68" s="23"/>
      <x:c r="D68" s="23"/>
      <x:c r="E68" s="23"/>
      <x:c r="F68" s="23"/>
      <x:c r="G68" s="23"/>
      <x:c r="H68" s="23"/>
    </x:row>
    <x:row r="69">
      <x:c r="A69" s="29"/>
      <x:c r="B69" s="23"/>
      <x:c r="C69" s="23"/>
      <x:c r="D69" s="23"/>
      <x:c r="E69" s="23"/>
      <x:c r="F69" s="23"/>
      <x:c r="G69" s="23"/>
      <x:c r="H69" s="23"/>
    </x:row>
    <x:row r="70">
      <x:c r="A70" s="29"/>
      <x:c r="B70" s="23"/>
      <x:c r="C70" s="23"/>
      <x:c r="D70" s="23"/>
      <x:c r="E70" s="23"/>
      <x:c r="F70" s="23"/>
      <x:c r="G70" s="23"/>
      <x:c r="H70" s="23"/>
    </x:row>
    <x:row r="71">
      <x:c r="A71" s="29"/>
      <x:c r="B71" s="23"/>
      <x:c r="C71" s="23"/>
      <x:c r="D71" s="23"/>
      <x:c r="E71" s="23"/>
      <x:c r="F71" s="23"/>
      <x:c r="G71" s="23"/>
      <x:c r="H71" s="23"/>
    </x:row>
    <x:row r="72">
      <x:c r="A72" s="29"/>
      <x:c r="B72" s="23"/>
      <x:c r="C72" s="23"/>
      <x:c r="D72" s="23"/>
      <x:c r="E72" s="23"/>
      <x:c r="F72" s="23"/>
      <x:c r="G72" s="23"/>
      <x:c r="H72" s="23"/>
    </x:row>
    <x:row r="73">
      <x:c r="A73" s="29"/>
      <x:c r="B73" s="23"/>
      <x:c r="C73" s="23"/>
      <x:c r="D73" s="23"/>
      <x:c r="E73" s="23"/>
      <x:c r="F73" s="23"/>
      <x:c r="G73" s="23"/>
      <x:c r="H73" s="23"/>
    </x:row>
    <x:row r="74">
      <x:c r="A74" s="29"/>
      <x:c r="B74" s="23"/>
      <x:c r="C74" s="23"/>
      <x:c r="D74" s="23"/>
      <x:c r="E74" s="23"/>
      <x:c r="F74" s="23"/>
      <x:c r="G74" s="23"/>
      <x:c r="H74" s="23"/>
    </x:row>
    <x:row r="75">
      <x:c r="A75" s="29"/>
      <x:c r="B75" s="23"/>
      <x:c r="C75" s="23"/>
      <x:c r="D75" s="23"/>
      <x:c r="E75" s="23"/>
      <x:c r="F75" s="23"/>
      <x:c r="G75" s="23"/>
      <x:c r="H75" s="23"/>
    </x:row>
    <x:row r="76">
      <x:c r="A76" s="29"/>
      <x:c r="B76" s="23"/>
      <x:c r="C76" s="23"/>
      <x:c r="D76" s="23"/>
      <x:c r="E76" s="23"/>
      <x:c r="F76" s="23"/>
      <x:c r="G76" s="23"/>
      <x:c r="H76" s="23"/>
    </x:row>
    <x:row r="77">
      <x:c r="A77" s="29"/>
      <x:c r="B77" s="23"/>
      <x:c r="C77" s="23"/>
      <x:c r="D77" s="23"/>
      <x:c r="E77" s="23"/>
      <x:c r="F77" s="23"/>
      <x:c r="G77" s="23"/>
      <x:c r="H77" s="23"/>
    </x:row>
    <x:row r="78">
      <x:c r="A78" s="29"/>
      <x:c r="B78" s="23"/>
      <x:c r="C78" s="23"/>
      <x:c r="D78" s="23"/>
      <x:c r="E78" s="23"/>
      <x:c r="F78" s="23"/>
      <x:c r="G78" s="23"/>
      <x:c r="H78" s="23"/>
    </x:row>
    <x:row r="79">
      <x:c r="A79" s="29"/>
      <x:c r="B79" s="23"/>
      <x:c r="C79" s="23"/>
      <x:c r="D79" s="23"/>
      <x:c r="E79" s="23"/>
      <x:c r="F79" s="23"/>
      <x:c r="G79" s="23"/>
      <x:c r="H79" s="23"/>
    </x:row>
    <x:row r="80">
      <x:c r="A80" s="29"/>
      <x:c r="B80" s="23"/>
      <x:c r="C80" s="23"/>
      <x:c r="D80" s="23"/>
      <x:c r="E80" s="23"/>
      <x:c r="F80" s="23"/>
      <x:c r="G80" s="23"/>
      <x:c r="H80" s="23"/>
    </x:row>
    <x:row r="81">
      <x:c r="A81" s="29"/>
      <x:c r="B81" s="23"/>
      <x:c r="C81" s="23"/>
      <x:c r="D81" s="23"/>
      <x:c r="E81" s="23"/>
      <x:c r="F81" s="23"/>
      <x:c r="G81" s="23"/>
      <x:c r="H81" s="23"/>
    </x:row>
    <x:row r="82">
      <x:c r="A82" s="29"/>
      <x:c r="B82" s="23"/>
      <x:c r="C82" s="23"/>
      <x:c r="D82" s="23"/>
      <x:c r="E82" s="23"/>
      <x:c r="F82" s="23"/>
      <x:c r="G82" s="23"/>
      <x:c r="H82" s="23"/>
    </x:row>
    <x:row r="83">
      <x:c r="A83" s="29"/>
      <x:c r="B83" s="23"/>
      <x:c r="C83" s="23"/>
      <x:c r="D83" s="23"/>
      <x:c r="E83" s="23"/>
      <x:c r="F83" s="23"/>
      <x:c r="G83" s="23"/>
      <x:c r="H83" s="23"/>
    </x:row>
    <x:row r="84">
      <x:c r="A84" s="29"/>
      <x:c r="B84" s="23"/>
      <x:c r="C84" s="23"/>
      <x:c r="D84" s="23"/>
      <x:c r="E84" s="23"/>
      <x:c r="F84" s="23"/>
      <x:c r="G84" s="23"/>
      <x:c r="H84" s="23"/>
    </x:row>
    <x:row r="85">
      <x:c r="A85" s="29"/>
      <x:c r="B85" s="23"/>
      <x:c r="C85" s="23"/>
      <x:c r="D85" s="23"/>
      <x:c r="E85" s="23"/>
      <x:c r="F85" s="23"/>
      <x:c r="G85" s="23"/>
      <x:c r="H85" s="23"/>
    </x:row>
    <x:row r="86">
      <x:c r="A86" s="29"/>
      <x:c r="B86" s="23"/>
      <x:c r="C86" s="23"/>
      <x:c r="D86" s="23"/>
      <x:c r="E86" s="23"/>
      <x:c r="F86" s="23"/>
      <x:c r="G86" s="23"/>
      <x:c r="H86" s="23"/>
    </x:row>
    <x:row r="87">
      <x:c r="A87" s="29"/>
      <x:c r="B87" s="23"/>
      <x:c r="C87" s="23"/>
      <x:c r="D87" s="23"/>
      <x:c r="E87" s="23"/>
      <x:c r="F87" s="23"/>
      <x:c r="G87" s="23"/>
      <x:c r="H87" s="23"/>
    </x:row>
    <x:row r="88">
      <x:c r="A88" s="29"/>
      <x:c r="B88" s="23"/>
      <x:c r="C88" s="23"/>
      <x:c r="D88" s="23"/>
      <x:c r="E88" s="23"/>
      <x:c r="F88" s="23"/>
      <x:c r="G88" s="23"/>
      <x:c r="H88" s="23"/>
    </x:row>
    <x:row r="89">
      <x:c r="A89" s="29"/>
      <x:c r="B89" s="23"/>
      <x:c r="C89" s="23"/>
      <x:c r="D89" s="23"/>
      <x:c r="E89" s="23"/>
      <x:c r="F89" s="23"/>
      <x:c r="G89" s="23"/>
      <x:c r="H89" s="23"/>
    </x:row>
    <x:row r="90">
      <x:c r="A90" s="29"/>
      <x:c r="B90" s="23"/>
      <x:c r="C90" s="23"/>
      <x:c r="D90" s="23"/>
      <x:c r="E90" s="23"/>
      <x:c r="F90" s="23"/>
      <x:c r="G90" s="23"/>
      <x:c r="H90" s="23"/>
    </x:row>
    <x:row r="91">
      <x:c r="A91" s="29"/>
      <x:c r="B91" s="23"/>
      <x:c r="C91" s="23"/>
      <x:c r="D91" s="23"/>
      <x:c r="E91" s="23"/>
      <x:c r="F91" s="23"/>
      <x:c r="G91" s="23"/>
      <x:c r="H91" s="23"/>
    </x:row>
    <x:row r="92">
      <x:c r="A92" s="29"/>
      <x:c r="B92" s="23"/>
      <x:c r="C92" s="23"/>
      <x:c r="D92" s="23"/>
      <x:c r="E92" s="23"/>
      <x:c r="F92" s="23"/>
      <x:c r="G92" s="23"/>
      <x:c r="H92" s="23"/>
    </x:row>
    <x:row r="93">
      <x:c r="A93" s="29"/>
      <x:c r="B93" s="23"/>
      <x:c r="C93" s="23"/>
      <x:c r="D93" s="23"/>
      <x:c r="E93" s="23"/>
      <x:c r="F93" s="23"/>
      <x:c r="G93" s="23"/>
      <x:c r="H93" s="23"/>
    </x:row>
    <x:row r="94">
      <x:c r="A94" s="29"/>
      <x:c r="B94" s="23"/>
      <x:c r="C94" s="23"/>
      <x:c r="D94" s="23"/>
      <x:c r="E94" s="23"/>
      <x:c r="F94" s="23"/>
      <x:c r="G94" s="23"/>
      <x:c r="H94" s="23"/>
    </x:row>
    <x:row r="95">
      <x:c r="A95" s="29"/>
      <x:c r="B95" s="23"/>
      <x:c r="C95" s="23"/>
      <x:c r="D95" s="23"/>
      <x:c r="E95" s="23"/>
      <x:c r="F95" s="23"/>
      <x:c r="G95" s="23"/>
      <x:c r="H95" s="23"/>
    </x:row>
    <x:row r="96">
      <x:c r="A96" s="29"/>
      <x:c r="B96" s="23"/>
      <x:c r="C96" s="23"/>
      <x:c r="D96" s="23"/>
      <x:c r="E96" s="23"/>
      <x:c r="F96" s="23"/>
      <x:c r="G96" s="23"/>
      <x:c r="H96" s="23"/>
    </x:row>
    <x:row r="97">
      <x:c r="A97" s="29"/>
      <x:c r="B97" s="23"/>
      <x:c r="C97" s="23"/>
      <x:c r="D97" s="23"/>
      <x:c r="E97" s="23"/>
      <x:c r="F97" s="23"/>
      <x:c r="G97" s="23"/>
      <x:c r="H97" s="23"/>
    </x:row>
    <x:row r="98">
      <x:c r="A98" s="29"/>
      <x:c r="B98" s="23"/>
      <x:c r="C98" s="23"/>
      <x:c r="D98" s="23"/>
      <x:c r="E98" s="23"/>
      <x:c r="F98" s="23"/>
      <x:c r="G98" s="23"/>
      <x:c r="H98" s="23"/>
    </x:row>
    <x:row r="99">
      <x:c r="A99" s="29"/>
      <x:c r="B99" s="23"/>
      <x:c r="C99" s="23"/>
      <x:c r="D99" s="23"/>
      <x:c r="E99" s="23"/>
      <x:c r="F99" s="23"/>
      <x:c r="G99" s="23"/>
      <x:c r="H99" s="23"/>
    </x:row>
    <x:row r="100">
      <x:c r="A100" s="29"/>
      <x:c r="B100" s="23"/>
      <x:c r="C100" s="23"/>
      <x:c r="D100" s="23"/>
      <x:c r="E100" s="23"/>
      <x:c r="F100" s="23"/>
      <x:c r="G100" s="23"/>
      <x:c r="H100" s="23"/>
    </x:row>
    <x:row r="101">
      <x:c r="A101" s="29"/>
      <x:c r="B101" s="23"/>
      <x:c r="C101" s="23"/>
      <x:c r="D101" s="23"/>
      <x:c r="E101" s="23"/>
      <x:c r="F101" s="23"/>
      <x:c r="G101" s="23"/>
      <x:c r="H101" s="23"/>
    </x:row>
    <x:row r="102">
      <x:c r="A102" s="29"/>
      <x:c r="B102" s="23"/>
      <x:c r="C102" s="23"/>
      <x:c r="D102" s="23"/>
      <x:c r="E102" s="23"/>
      <x:c r="F102" s="23"/>
      <x:c r="G102" s="23"/>
      <x:c r="H102" s="23"/>
    </x:row>
    <x:row r="103">
      <x:c r="A103" s="29"/>
      <x:c r="B103" s="23"/>
      <x:c r="C103" s="23"/>
      <x:c r="D103" s="23"/>
      <x:c r="E103" s="23"/>
      <x:c r="F103" s="23"/>
      <x:c r="G103" s="23"/>
      <x:c r="H103" s="23"/>
    </x:row>
    <x:row r="104">
      <x:c r="A104" s="30"/>
      <x:c r="B104" s="24"/>
      <x:c r="C104" s="24"/>
      <x:c r="D104" s="24"/>
      <x:c r="E104" s="24"/>
      <x:c r="F104" s="24"/>
      <x:c r="G104" s="24"/>
      <x:c r="H104" s="24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22c961a57bf48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15" hidden="0" customWidth="1"/>
    <x:col min="5" max="5" width="12" hidden="0" customWidth="1"/>
    <x:col min="6" max="6" width="11" hidden="0" customWidth="1"/>
    <x:col min="7" max="7" width="11" hidden="0" customWidth="1"/>
    <x:col min="8" max="8" width="10" hidden="0" customWidth="1"/>
    <x:col min="9" max="9" width="24" hidden="0" customWidth="1"/>
    <x:col min="10" max="10" width="28" hidden="0" customWidth="1"/>
  </x:cols>
  <x:sheetData>
    <x:row r="1" ht="34" customHeight="1">
      <x:c r="A1" s="3" t="str">
        <x:v>Workouts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Рабочие веса сравниваются только внутри одного и того же тренажера / филиала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4" customHeight="1">
      <x:c r="A4" s="15" t="str">
        <x:v>Exercise ID</x:v>
      </x:c>
      <x:c r="B4" s="16" t="str">
        <x:v>Группа</x:v>
      </x:c>
      <x:c r="C4" s="16" t="str">
        <x:v>Упражнение</x:v>
      </x:c>
      <x:c r="D4" s="16" t="str">
        <x:v>Рабочий вес</x:v>
      </x:c>
      <x:c r="E4" s="16" t="str">
        <x:v>Ед.</x:v>
      </x:c>
      <x:c r="F4" s="16" t="str">
        <x:v>Подходы</x:v>
      </x:c>
      <x:c r="G4" s="16" t="str">
        <x:v>Повторы</x:v>
      </x:c>
      <x:c r="H4" s="16" t="str">
        <x:v>RIR</x:v>
      </x:c>
      <x:c r="I4" s="16" t="str">
        <x:v>Тренажер / филиал</x:v>
      </x:c>
      <x:c r="J4" s="17" t="str">
        <x:v>Комментарий</x:v>
      </x:c>
    </x:row>
    <x:row r="5">
      <x:c r="A5" s="22" t="str">
        <x:v>EX-001</x:v>
      </x:c>
      <x:c r="B5" s="22" t="str">
        <x:v>Ноги</x:v>
      </x:c>
      <x:c r="C5" s="22" t="str">
        <x:v>Жим ногами сидя</x:v>
      </x:c>
      <x:c r="D5" s="22" t="n">
        <x:v>35</x:v>
      </x:c>
      <x:c r="E5" s="22" t="str">
        <x:v>кг</x:v>
      </x:c>
      <x:c r="F5" s="22" t="n">
        <x:v>3</x:v>
      </x:c>
      <x:c r="G5" s="22" t="n">
        <x:v>12</x:v>
      </x:c>
      <x:c r="H5" s="22" t="str">
        <x:v>0–2</x:v>
      </x:c>
      <x:c r="I5" s="22" t="str"/>
      <x:c r="J5" s="22" t="str"/>
    </x:row>
    <x:row r="6">
      <x:c r="A6" s="23" t="str">
        <x:v>EX-002</x:v>
      </x:c>
      <x:c r="B6" s="23" t="str">
        <x:v>Задняя цепь</x:v>
      </x:c>
      <x:c r="C6" s="23" t="str">
        <x:v>Румынская тяга</x:v>
      </x:c>
      <x:c r="D6" s="23" t="n">
        <x:v>20</x:v>
      </x:c>
      <x:c r="E6" s="23" t="str">
        <x:v>кг</x:v>
      </x:c>
      <x:c r="F6" s="23" t="n">
        <x:v>3</x:v>
      </x:c>
      <x:c r="G6" s="23" t="n">
        <x:v>12</x:v>
      </x:c>
      <x:c r="H6" s="23" t="str">
        <x:v>0–2</x:v>
      </x:c>
      <x:c r="I6" s="23" t="str"/>
      <x:c r="J6" s="23" t="str"/>
    </x:row>
    <x:row r="7">
      <x:c r="A7" s="23" t="str">
        <x:v>EX-003</x:v>
      </x:c>
      <x:c r="B7" s="23" t="str">
        <x:v>Ягодицы</x:v>
      </x:c>
      <x:c r="C7" s="23" t="str">
        <x:v>Разведение ног</x:v>
      </x:c>
      <x:c r="D7" s="23" t="n">
        <x:v>30</x:v>
      </x:c>
      <x:c r="E7" s="23" t="str">
        <x:v>кг</x:v>
      </x:c>
      <x:c r="F7" s="23" t="n">
        <x:v>3</x:v>
      </x:c>
      <x:c r="G7" s="23" t="n">
        <x:v>12</x:v>
      </x:c>
      <x:c r="H7" s="23" t="str">
        <x:v>0–2</x:v>
      </x:c>
      <x:c r="I7" s="23" t="str"/>
      <x:c r="J7" s="23" t="str"/>
    </x:row>
    <x:row r="8">
      <x:c r="A8" s="23" t="str">
        <x:v>EX-004</x:v>
      </x:c>
      <x:c r="B8" s="23" t="str">
        <x:v>Приводящие</x:v>
      </x:c>
      <x:c r="C8" s="23" t="str">
        <x:v>Сведение ног</x:v>
      </x:c>
      <x:c r="D8" s="23" t="n">
        <x:v>25</x:v>
      </x:c>
      <x:c r="E8" s="23" t="str">
        <x:v>кг</x:v>
      </x:c>
      <x:c r="F8" s="23" t="n">
        <x:v>3</x:v>
      </x:c>
      <x:c r="G8" s="23" t="n">
        <x:v>12</x:v>
      </x:c>
      <x:c r="H8" s="23" t="str">
        <x:v>0–2</x:v>
      </x:c>
      <x:c r="I8" s="23" t="str"/>
      <x:c r="J8" s="23" t="str"/>
    </x:row>
    <x:row r="9">
      <x:c r="A9" s="23" t="str">
        <x:v>EX-005</x:v>
      </x:c>
      <x:c r="B9" s="23" t="str">
        <x:v>Ягодицы</x:v>
      </x:c>
      <x:c r="C9" s="23" t="str">
        <x:v>Отведение ноги</x:v>
      </x:c>
      <x:c r="D9" s="23" t="n">
        <x:v>10</x:v>
      </x:c>
      <x:c r="E9" s="23" t="str">
        <x:v>кг</x:v>
      </x:c>
      <x:c r="F9" s="23" t="n">
        <x:v>3</x:v>
      </x:c>
      <x:c r="G9" s="23" t="n">
        <x:v>12</x:v>
      </x:c>
      <x:c r="H9" s="23" t="str">
        <x:v>0–2</x:v>
      </x:c>
      <x:c r="I9" s="23" t="str"/>
      <x:c r="J9" s="23" t="str"/>
    </x:row>
    <x:row r="10">
      <x:c r="A10" s="23" t="str">
        <x:v>EX-006</x:v>
      </x:c>
      <x:c r="B10" s="23" t="str">
        <x:v>Кор</x:v>
      </x:c>
      <x:c r="C10" s="23" t="str">
        <x:v>Пресс-машина</x:v>
      </x:c>
      <x:c r="D10" s="23" t="n">
        <x:v>45</x:v>
      </x:c>
      <x:c r="E10" s="23" t="str">
        <x:v>кг</x:v>
      </x:c>
      <x:c r="F10" s="23" t="n">
        <x:v>3</x:v>
      </x:c>
      <x:c r="G10" s="23" t="n">
        <x:v>12</x:v>
      </x:c>
      <x:c r="H10" s="23" t="str">
        <x:v>0–2</x:v>
      </x:c>
      <x:c r="I10" s="23" t="str"/>
      <x:c r="J10" s="23" t="str"/>
    </x:row>
    <x:row r="11">
      <x:c r="A11" s="23" t="str">
        <x:v>EX-007</x:v>
      </x:c>
      <x:c r="B11" s="23" t="str">
        <x:v>Ягодицы</x:v>
      </x:c>
      <x:c r="C11" s="23" t="str">
        <x:v>Ягодичный мост</x:v>
      </x:c>
      <x:c r="D11" s="23" t="n">
        <x:v>30</x:v>
      </x:c>
      <x:c r="E11" s="23" t="str">
        <x:v>кг блинов</x:v>
      </x:c>
      <x:c r="F11" s="23" t="n">
        <x:v>3</x:v>
      </x:c>
      <x:c r="G11" s="23" t="n">
        <x:v>12</x:v>
      </x:c>
      <x:c r="H11" s="23" t="str">
        <x:v>0–2</x:v>
      </x:c>
      <x:c r="I11" s="23" t="str"/>
      <x:c r="J11" s="23" t="str">
        <x:v>2 × 15 кг</x:v>
      </x:c>
    </x:row>
    <x:row r="12">
      <x:c r="A12" s="23" t="str">
        <x:v>EX-008</x:v>
      </x:c>
      <x:c r="B12" s="23" t="str">
        <x:v>Спина</x:v>
      </x:c>
      <x:c r="C12" s="23" t="str">
        <x:v>Вертикальная тяга</x:v>
      </x:c>
      <x:c r="D12" s="23" t="n">
        <x:v>25</x:v>
      </x:c>
      <x:c r="E12" s="23" t="str">
        <x:v>кг</x:v>
      </x:c>
      <x:c r="F12" s="23" t="n">
        <x:v>3</x:v>
      </x:c>
      <x:c r="G12" s="23" t="n">
        <x:v>12</x:v>
      </x:c>
      <x:c r="H12" s="23" t="str">
        <x:v>0–2</x:v>
      </x:c>
      <x:c r="I12" s="23" t="str"/>
      <x:c r="J12" s="23" t="str"/>
    </x:row>
    <x:row r="13">
      <x:c r="A13" s="23" t="str">
        <x:v>EX-009</x:v>
      </x:c>
      <x:c r="B13" s="23" t="str">
        <x:v>Спина</x:v>
      </x:c>
      <x:c r="C13" s="23" t="str">
        <x:v>Горизонтальная тяга</x:v>
      </x:c>
      <x:c r="D13" s="23" t="n">
        <x:v>25</x:v>
      </x:c>
      <x:c r="E13" s="23" t="str">
        <x:v>кг</x:v>
      </x:c>
      <x:c r="F13" s="23" t="n">
        <x:v>3</x:v>
      </x:c>
      <x:c r="G13" s="23" t="n">
        <x:v>12</x:v>
      </x:c>
      <x:c r="H13" s="23" t="str">
        <x:v>0–2</x:v>
      </x:c>
      <x:c r="I13" s="23" t="str"/>
      <x:c r="J13" s="23" t="str"/>
    </x:row>
    <x:row r="14">
      <x:c r="A14" s="23" t="str">
        <x:v>EX-010</x:v>
      </x:c>
      <x:c r="B14" s="23" t="str">
        <x:v>Спина</x:v>
      </x:c>
      <x:c r="C14" s="23" t="str">
        <x:v>Гиперэкстензия</x:v>
      </x:c>
      <x:c r="D14" s="23" t="n">
        <x:v>10</x:v>
      </x:c>
      <x:c r="E14" s="23" t="str">
        <x:v>кг</x:v>
      </x:c>
      <x:c r="F14" s="23" t="n">
        <x:v>3</x:v>
      </x:c>
      <x:c r="G14" s="23" t="n">
        <x:v>12</x:v>
      </x:c>
      <x:c r="H14" s="23" t="str">
        <x:v>0–2</x:v>
      </x:c>
      <x:c r="I14" s="23" t="str"/>
      <x:c r="J14" s="23" t="str">
        <x:v>доп. вес</x:v>
      </x:c>
    </x:row>
    <x:row r="15">
      <x:c r="A15" s="23" t="str">
        <x:v>EX-011</x:v>
      </x:c>
      <x:c r="B15" s="23" t="str">
        <x:v>Руки</x:v>
      </x:c>
      <x:c r="C15" s="23" t="str">
        <x:v>Бицепс</x:v>
      </x:c>
      <x:c r="D15" s="23" t="n">
        <x:v>5</x:v>
      </x:c>
      <x:c r="E15" s="23" t="str">
        <x:v>кг</x:v>
      </x:c>
      <x:c r="F15" s="23" t="n">
        <x:v>3</x:v>
      </x:c>
      <x:c r="G15" s="23" t="n">
        <x:v>12</x:v>
      </x:c>
      <x:c r="H15" s="23" t="str">
        <x:v>0–2</x:v>
      </x:c>
      <x:c r="I15" s="23" t="str"/>
      <x:c r="J15" s="23" t="str"/>
    </x:row>
    <x:row r="16">
      <x:c r="A16" s="23" t="str">
        <x:v>EX-012</x:v>
      </x:c>
      <x:c r="B16" s="23" t="str">
        <x:v>Грудь</x:v>
      </x:c>
      <x:c r="C16" s="23" t="str">
        <x:v>Бабочка</x:v>
      </x:c>
      <x:c r="D16" s="23" t="n">
        <x:v>15</x:v>
      </x:c>
      <x:c r="E16" s="23" t="str">
        <x:v>кг</x:v>
      </x:c>
      <x:c r="F16" s="23" t="n">
        <x:v>3</x:v>
      </x:c>
      <x:c r="G16" s="23" t="n">
        <x:v>12</x:v>
      </x:c>
      <x:c r="H16" s="23" t="str">
        <x:v>0–2</x:v>
      </x:c>
      <x:c r="I16" s="23" t="str"/>
      <x:c r="J16" s="23" t="str"/>
    </x:row>
    <x:row r="17">
      <x:c r="A17" s="23" t="str">
        <x:v>EX-013</x:v>
      </x:c>
      <x:c r="B17" s="23" t="str">
        <x:v>Плечи</x:v>
      </x:c>
      <x:c r="C17" s="23" t="str">
        <x:v>Обратная бабочка</x:v>
      </x:c>
      <x:c r="D17" s="23" t="n">
        <x:v>10</x:v>
      </x:c>
      <x:c r="E17" s="23" t="str">
        <x:v>кг</x:v>
      </x:c>
      <x:c r="F17" s="23" t="n">
        <x:v>3</x:v>
      </x:c>
      <x:c r="G17" s="23" t="n">
        <x:v>12</x:v>
      </x:c>
      <x:c r="H17" s="23" t="str">
        <x:v>0–2</x:v>
      </x:c>
      <x:c r="I17" s="23" t="str"/>
      <x:c r="J17" s="23" t="str"/>
    </x:row>
    <x:row r="18">
      <x:c r="A18" s="23" t="str">
        <x:v>EX-014</x:v>
      </x:c>
      <x:c r="B18" s="23" t="str">
        <x:v>Плечи</x:v>
      </x:c>
      <x:c r="C18" s="23" t="str">
        <x:v>Жим плечами в тренажере</x:v>
      </x:c>
      <x:c r="D18" s="23" t="n">
        <x:v>10</x:v>
      </x:c>
      <x:c r="E18" s="23" t="str">
        <x:v>кг</x:v>
      </x:c>
      <x:c r="F18" s="23" t="n">
        <x:v>3</x:v>
      </x:c>
      <x:c r="G18" s="23" t="n">
        <x:v>12</x:v>
      </x:c>
      <x:c r="H18" s="23" t="str">
        <x:v>0–2</x:v>
      </x:c>
      <x:c r="I18" s="23" t="str"/>
      <x:c r="J18" s="23" t="str"/>
    </x:row>
    <x:row r="19">
      <x:c r="A19" s="23" t="str">
        <x:v>EX-015</x:v>
      </x:c>
      <x:c r="B19" s="23" t="str">
        <x:v>Плечи/спина</x:v>
      </x:c>
      <x:c r="C19" s="23" t="str">
        <x:v>Дельты и широчайшие</x:v>
      </x:c>
      <x:c r="D19" s="23" t="n">
        <x:v>15</x:v>
      </x:c>
      <x:c r="E19" s="23" t="str">
        <x:v>кг</x:v>
      </x:c>
      <x:c r="F19" s="23" t="n">
        <x:v>3</x:v>
      </x:c>
      <x:c r="G19" s="23" t="n">
        <x:v>12</x:v>
      </x:c>
      <x:c r="H19" s="23" t="str">
        <x:v>0–2</x:v>
      </x:c>
      <x:c r="I19" s="23" t="str"/>
      <x:c r="J19" s="23" t="str"/>
    </x:row>
    <x:row r="20">
      <x:c r="A20" s="23" t="str">
        <x:v>EX-016</x:v>
      </x:c>
      <x:c r="B20" s="23" t="str">
        <x:v>Трицепс</x:v>
      </x:c>
      <x:c r="C20" s="23" t="str">
        <x:v>Seated Dip Machine</x:v>
      </x:c>
      <x:c r="D20" s="23" t="n">
        <x:v>30</x:v>
      </x:c>
      <x:c r="E20" s="23" t="str">
        <x:v>кг</x:v>
      </x:c>
      <x:c r="F20" s="23" t="n">
        <x:v>3</x:v>
      </x:c>
      <x:c r="G20" s="23" t="n">
        <x:v>12</x:v>
      </x:c>
      <x:c r="H20" s="23" t="str">
        <x:v>0–2</x:v>
      </x:c>
      <x:c r="I20" s="23" t="str"/>
      <x:c r="J20" s="23" t="str"/>
    </x:row>
    <x:row r="21">
      <x:c r="A21" s="24" t="str">
        <x:v>EX-017</x:v>
      </x:c>
      <x:c r="B21" s="24" t="str">
        <x:v>Задняя поверхность бедра</x:v>
      </x:c>
      <x:c r="C21" s="24" t="str">
        <x:v>Сгибание ног лежа</x:v>
      </x:c>
      <x:c r="D21" s="24" t="n">
        <x:v>15</x:v>
      </x:c>
      <x:c r="E21" s="24" t="str">
        <x:v>кг</x:v>
      </x:c>
      <x:c r="F21" s="24" t="n">
        <x:v>3</x:v>
      </x:c>
      <x:c r="G21" s="24" t="n">
        <x:v>12</x:v>
      </x:c>
      <x:c r="H21" s="24" t="str">
        <x:v>0–2</x:v>
      </x:c>
      <x:c r="I21" s="24" t="str"/>
      <x:c r="J21" s="24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1297a15f2e74c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13" hidden="0" customWidth="1"/>
    <x:col min="5" max="5" width="18" hidden="0" customWidth="1"/>
    <x:col min="6" max="6" width="55" hidden="0" customWidth="1"/>
    <x:col min="7" max="7" width="18" hidden="0" customWidth="1"/>
    <x:col min="8" max="8" width="40" hidden="0" customWidth="1"/>
  </x:cols>
  <x:sheetData>
    <x:row r="1" ht="34" customHeight="1">
      <x:c r="A1" s="3" t="str">
        <x:v>Changelog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История версий рецептов и книги</x:v>
      </x:c>
      <x:c r="B2" s="6"/>
      <x:c r="C2" s="6"/>
      <x:c r="D2" s="6"/>
      <x:c r="E2" s="6"/>
      <x:c r="F2" s="6"/>
      <x:c r="G2" s="6"/>
      <x:c r="H2" s="6"/>
    </x:row>
    <x:row r="4" ht="24" customHeight="1">
      <x:c r="A4" s="15" t="str">
        <x:v>Дата</x:v>
      </x:c>
      <x:c r="B4" s="16" t="str">
        <x:v>Объект ID</x:v>
      </x:c>
      <x:c r="C4" s="16" t="str">
        <x:v>Версия</x:v>
      </x:c>
      <x:c r="D4" s="16" t="str">
        <x:v>Статус</x:v>
      </x:c>
      <x:c r="E4" s="16" t="str">
        <x:v>Тип изменения</x:v>
      </x:c>
      <x:c r="F4" s="16" t="str">
        <x:v>Описание</x:v>
      </x:c>
      <x:c r="G4" s="16" t="str">
        <x:v>Автор</x:v>
      </x:c>
      <x:c r="H4" s="17" t="str">
        <x:v>Следующее действие</x:v>
      </x:c>
    </x:row>
    <x:row r="5">
      <x:c r="A5" s="28" t="n">
        <x:v>46217</x:v>
      </x:c>
      <x:c r="B5" s="22" t="str">
        <x:v>WORKBOOK</x:v>
      </x:c>
      <x:c r="C5" s="22" t="str">
        <x:v>7.0</x:v>
      </x:c>
      <x:c r="D5" s="22" t="str">
        <x:v>Approved</x:v>
      </x:c>
      <x:c r="E5" s="22" t="str">
        <x:v>Major</x:v>
      </x:c>
      <x:c r="F5" s="22" t="str">
        <x:v>Создана Astra Nutrition OS v7: Dashboard, продукты, рецепты, дневник, прогресс и тренировки</x:v>
      </x:c>
      <x:c r="G5" s="22" t="str">
        <x:v>Астра</x:v>
      </x:c>
      <x:c r="H5" s="22" t="str">
        <x:v>Добавлять новые фактические цены</x:v>
      </x:c>
    </x:row>
    <x:row r="6">
      <x:c r="A6" s="29" t="n">
        <x:v>46217</x:v>
      </x:c>
      <x:c r="B6" s="23" t="str">
        <x:v>M-001</x:v>
      </x:c>
      <x:c r="C6" s="23" t="str">
        <x:v>1.0</x:v>
      </x:c>
      <x:c r="D6" s="23" t="str">
        <x:v>Approved</x:v>
      </x:c>
      <x:c r="E6" s="23" t="str">
        <x:v>Create</x:v>
      </x:c>
      <x:c r="F6" s="23" t="str">
        <x:v>Куриная запеканка без брокколи, 3 порции</x:v>
      </x:c>
      <x:c r="G6" s="23" t="str">
        <x:v>Настя + Астра</x:v>
      </x:c>
      <x:c r="H6" s="23" t="str"/>
    </x:row>
    <x:row r="7">
      <x:c r="A7" s="29" t="n">
        <x:v>46217</x:v>
      </x:c>
      <x:c r="B7" s="23" t="str">
        <x:v>M-002</x:v>
      </x:c>
      <x:c r="C7" s="23" t="str">
        <x:v>1.1</x:v>
      </x:c>
      <x:c r="D7" s="23" t="str">
        <x:v>Approved</x:v>
      </x:c>
      <x:c r="E7" s="23" t="str">
        <x:v>Update</x:v>
      </x:c>
      <x:c r="F7" s="23" t="str">
        <x:v>Количество говяжьего фарша изменено на 270 г</x:v>
      </x:c>
      <x:c r="G7" s="23" t="str">
        <x:v>Настя + Астра</x:v>
      </x:c>
      <x:c r="H7" s="23" t="str"/>
    </x:row>
    <x:row r="8">
      <x:c r="A8" s="29" t="n">
        <x:v>46217</x:v>
      </x:c>
      <x:c r="B8" s="23" t="str">
        <x:v>B-001</x:v>
      </x:c>
      <x:c r="C8" s="23" t="str">
        <x:v>1.0</x:v>
      </x:c>
      <x:c r="D8" s="23" t="str">
        <x:v>Approved</x:v>
      </x:c>
      <x:c r="E8" s="23" t="str">
        <x:v>Create</x:v>
      </x:c>
      <x:c r="F8" s="23" t="str">
        <x:v>Добавлена яичница с томатами и хлебом Lidl</x:v>
      </x:c>
      <x:c r="G8" s="23" t="str">
        <x:v>Настя + Астра</x:v>
      </x:c>
      <x:c r="H8" s="23" t="str">
        <x:v>Уточнить КБЖУ хлеба при появлении данных</x:v>
      </x:c>
    </x:row>
    <x:row r="9">
      <x:c r="A9" s="30" t="n">
        <x:v>46217</x:v>
      </x:c>
      <x:c r="B9" s="24" t="str">
        <x:v>D-002</x:v>
      </x:c>
      <x:c r="C9" s="24" t="str">
        <x:v>1.1</x:v>
      </x:c>
      <x:c r="D9" s="24" t="str">
        <x:v>Approved</x:v>
      </x:c>
      <x:c r="E9" s="24" t="str">
        <x:v>Update</x:v>
      </x:c>
      <x:c r="F9" s="24" t="str">
        <x:v>Голубичный крем со скиром и старым творогом</x:v>
      </x:c>
      <x:c r="G9" s="24" t="str">
        <x:v>Настя + Астра</x:v>
      </x:c>
      <x:c r="H9" s="24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5156f0581804ad0"/>
  </x:tableParts>
</x:worksheet>
</file>